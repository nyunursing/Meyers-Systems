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m193\Documents\GitHub\Meyers-Systems\MeyersElections\Ballot\"/>
    </mc:Choice>
  </mc:AlternateContent>
  <bookViews>
    <workbookView xWindow="0" yWindow="465" windowWidth="33600" windowHeight="16425" tabRatio="923" activeTab="4"/>
  </bookViews>
  <sheets>
    <sheet name="IdeaForMapping2Year" sheetId="6" r:id="rId1"/>
    <sheet name="HR-Data(OLD)" sheetId="13" r:id="rId2"/>
    <sheet name="Data-Templates" sheetId="5" r:id="rId3"/>
    <sheet name="Committee's" sheetId="1" r:id="rId4"/>
    <sheet name="Sheet1" sheetId="33" r:id="rId5"/>
    <sheet name="HR Data" sheetId="30" r:id="rId6"/>
    <sheet name="Committee-Template" sheetId="31" r:id="rId7"/>
    <sheet name="FCS-Test" sheetId="32" r:id="rId8"/>
  </sheets>
  <functionGroups builtInGroupCount="18"/>
  <externalReferences>
    <externalReference r:id="rId9"/>
  </externalReferences>
  <definedNames>
    <definedName name="_xlnm._FilterDatabase" localSheetId="3" hidden="1">'Committee''s'!$B$2:$L$2</definedName>
    <definedName name="_xlnm._FilterDatabase" localSheetId="1" hidden="1">'HR-Data(OLD)'!$B$7:$K$7</definedName>
  </definedNames>
  <calcPr calcId="162913"/>
  <fileRecoveryPr repairLoad="1"/>
</workbook>
</file>

<file path=xl/calcChain.xml><?xml version="1.0" encoding="utf-8"?>
<calcChain xmlns="http://schemas.openxmlformats.org/spreadsheetml/2006/main">
  <c r="J232" i="32" l="1"/>
  <c r="H232" i="32"/>
  <c r="G232" i="32"/>
  <c r="F232" i="32"/>
  <c r="E232" i="32"/>
  <c r="D232" i="32"/>
  <c r="J140" i="32"/>
  <c r="H140" i="32"/>
  <c r="G140" i="32"/>
  <c r="F140" i="32"/>
  <c r="E140" i="32"/>
  <c r="D140" i="32"/>
  <c r="J113" i="32"/>
  <c r="H113" i="32"/>
  <c r="G113" i="32"/>
  <c r="F113" i="32"/>
  <c r="E113" i="32"/>
  <c r="I113" i="32" s="1"/>
  <c r="D113" i="32"/>
  <c r="J83" i="32"/>
  <c r="H83" i="32"/>
  <c r="G83" i="32"/>
  <c r="F83" i="32"/>
  <c r="E83" i="32"/>
  <c r="I83" i="32" s="1"/>
  <c r="D83" i="32"/>
  <c r="J18" i="32"/>
  <c r="H18" i="32"/>
  <c r="G18" i="32"/>
  <c r="F18" i="32"/>
  <c r="E18" i="32"/>
  <c r="I18" i="32" s="1"/>
  <c r="D18" i="32"/>
  <c r="J232" i="31"/>
  <c r="H232" i="31"/>
  <c r="G232" i="31"/>
  <c r="F232" i="31"/>
  <c r="E232" i="31"/>
  <c r="D232" i="31"/>
  <c r="J140" i="31"/>
  <c r="H140" i="31"/>
  <c r="G140" i="31"/>
  <c r="F140" i="31"/>
  <c r="E140" i="31"/>
  <c r="I140" i="31" s="1"/>
  <c r="D140" i="31"/>
  <c r="J113" i="31"/>
  <c r="H113" i="31"/>
  <c r="G113" i="31"/>
  <c r="F113" i="31"/>
  <c r="E113" i="31"/>
  <c r="I113" i="31" s="1"/>
  <c r="D113" i="31"/>
  <c r="J83" i="31"/>
  <c r="H83" i="31"/>
  <c r="G83" i="31"/>
  <c r="F83" i="31"/>
  <c r="E83" i="31"/>
  <c r="I83" i="31" s="1"/>
  <c r="D83" i="31"/>
  <c r="J18" i="31"/>
  <c r="H18" i="31"/>
  <c r="G18" i="31"/>
  <c r="F18" i="31"/>
  <c r="E18" i="31"/>
  <c r="I18" i="31" s="1"/>
  <c r="D18" i="31"/>
  <c r="I232" i="32" l="1"/>
  <c r="I140" i="32"/>
  <c r="I232" i="31"/>
</calcChain>
</file>

<file path=xl/sharedStrings.xml><?xml version="1.0" encoding="utf-8"?>
<sst xmlns="http://schemas.openxmlformats.org/spreadsheetml/2006/main" count="8278" uniqueCount="1161">
  <si>
    <t>Meyers Committee Membership List</t>
  </si>
  <si>
    <t>Faculty</t>
  </si>
  <si>
    <t>Committee</t>
  </si>
  <si>
    <t>Position</t>
  </si>
  <si>
    <t>2017-18</t>
  </si>
  <si>
    <t>2018-19</t>
  </si>
  <si>
    <t>2019-20</t>
  </si>
  <si>
    <t>Faculty Council Steering</t>
  </si>
  <si>
    <t>Chair</t>
  </si>
  <si>
    <t>Robin Klar CF</t>
  </si>
  <si>
    <t>Janet Van Cleave TT</t>
  </si>
  <si>
    <t>Allison Vorderstrasse T</t>
  </si>
  <si>
    <t>3 Tenure</t>
  </si>
  <si>
    <t>Co-Chair</t>
  </si>
  <si>
    <t>Larry Slater CF</t>
  </si>
  <si>
    <t>Nadia Sultana CF</t>
  </si>
  <si>
    <t>Sandy Cayo CF</t>
  </si>
  <si>
    <t>1 Tenure/Tenure Track</t>
  </si>
  <si>
    <t>Member T</t>
  </si>
  <si>
    <t>Michele Shedlin</t>
  </si>
  <si>
    <t>Allison Squires</t>
  </si>
  <si>
    <t>3 Clinical Faculty</t>
  </si>
  <si>
    <t>Nancy VanDevanter</t>
  </si>
  <si>
    <t>Jackie Taylor</t>
  </si>
  <si>
    <t>Allison Vorderstrasse</t>
  </si>
  <si>
    <t>Member T/TT</t>
  </si>
  <si>
    <t>Janet Van Cleave</t>
  </si>
  <si>
    <t>Caroline Dorsen</t>
  </si>
  <si>
    <t>Member CF</t>
  </si>
  <si>
    <t>Nadia Sultana</t>
  </si>
  <si>
    <t>Sandy Cayo</t>
  </si>
  <si>
    <t>Donna McCabe</t>
  </si>
  <si>
    <t>Holly Hagan</t>
  </si>
  <si>
    <t>Bath Lattimer (CF)</t>
  </si>
  <si>
    <t>Beth Lattimer (CF)</t>
  </si>
  <si>
    <t>Nominations</t>
  </si>
  <si>
    <t>James Weidel</t>
  </si>
  <si>
    <t>Michele Crespo-Fierro (co)</t>
  </si>
  <si>
    <t>Susan Altman</t>
  </si>
  <si>
    <t>3 Tenure/Tenure Track/Clinical Faculty</t>
  </si>
  <si>
    <t>Member</t>
  </si>
  <si>
    <t>Michele Crespo-Fierro</t>
  </si>
  <si>
    <t>Yzette Lanier (co)</t>
  </si>
  <si>
    <t>1 Ex-Officio from FCSC</t>
  </si>
  <si>
    <t>Yzette Lanier</t>
  </si>
  <si>
    <t>Member E-O</t>
  </si>
  <si>
    <t>Robin Klar FCSC</t>
  </si>
  <si>
    <t>Janet Van Cleave FCSC</t>
  </si>
  <si>
    <t>Appointment &amp; Tenure</t>
  </si>
  <si>
    <t>Member T P Ch</t>
  </si>
  <si>
    <t>Joyce Anastasi</t>
  </si>
  <si>
    <t>5 Tenure</t>
  </si>
  <si>
    <t>Member T P</t>
  </si>
  <si>
    <t>Bei Wu</t>
  </si>
  <si>
    <t>3 Professor Rank</t>
  </si>
  <si>
    <t xml:space="preserve">Member T </t>
  </si>
  <si>
    <t>Appointments Promotion &amp; Tenure</t>
  </si>
  <si>
    <t>Member Ch</t>
  </si>
  <si>
    <t>Jamie Newland</t>
  </si>
  <si>
    <t>Eloise Cathcart</t>
  </si>
  <si>
    <t>5 Clinical Faculty at Associate/Professor Rank</t>
  </si>
  <si>
    <t>Medel Paguirigian</t>
  </si>
  <si>
    <t>Sally Cohen</t>
  </si>
  <si>
    <t>Leslie Taub</t>
  </si>
  <si>
    <t>Mary Jo Vetter</t>
  </si>
  <si>
    <t>Susan Apold</t>
  </si>
  <si>
    <t>Grievance</t>
  </si>
  <si>
    <t>2 Clinical Faculty at Associate/Professor Rank</t>
  </si>
  <si>
    <t>Mei Fu</t>
  </si>
  <si>
    <t>Mary Brennan</t>
  </si>
  <si>
    <t>Search</t>
  </si>
  <si>
    <t>Raquel Ramos</t>
  </si>
  <si>
    <t>8 Tenure/Tenure Track/Clinical Faculty</t>
  </si>
  <si>
    <t>Member VCh</t>
  </si>
  <si>
    <t>3 Ex-Officio (2 Program Directors &amp; Executive Vice Dean)</t>
  </si>
  <si>
    <t>Ab Brody</t>
  </si>
  <si>
    <t>Robin Klar</t>
  </si>
  <si>
    <t>John Merriman</t>
  </si>
  <si>
    <t>Member (E-O)</t>
  </si>
  <si>
    <t>Sean Clarke</t>
  </si>
  <si>
    <t>Bylaws</t>
  </si>
  <si>
    <t>Candy Capili</t>
  </si>
  <si>
    <t>Jamesetta Newland</t>
  </si>
  <si>
    <t>Fay Wright</t>
  </si>
  <si>
    <t>Curriculum</t>
  </si>
  <si>
    <t>Babette Biesecker</t>
  </si>
  <si>
    <t>11 Tenure/Tenure Track/Clinical Faculty</t>
  </si>
  <si>
    <t>1 Ex-Officio (Associate Dean for Academic Programs)</t>
  </si>
  <si>
    <t>Jeff Day</t>
  </si>
  <si>
    <t>Dorothy Wholihan</t>
  </si>
  <si>
    <t xml:space="preserve">Sally Cohen </t>
  </si>
  <si>
    <t>Maja Djukic</t>
  </si>
  <si>
    <t>Margaret McCarthy</t>
  </si>
  <si>
    <t>Karla Rodriguez</t>
  </si>
  <si>
    <t>University Senate</t>
  </si>
  <si>
    <t>Tenure/Tenure-Track Faculty Senators Council</t>
  </si>
  <si>
    <t>Alternate</t>
  </si>
  <si>
    <t>2 Alternates Tenure/Tenure Track</t>
  </si>
  <si>
    <t xml:space="preserve">Alternate </t>
  </si>
  <si>
    <t>Full-Time Continuing Contract Faculty Senators Council</t>
  </si>
  <si>
    <t>1 Clinical Faculty</t>
  </si>
  <si>
    <t>2 Alternates Clinical Faculty</t>
  </si>
  <si>
    <t>Faculty Committee on NYU’s Global Network T/TT/CF</t>
  </si>
  <si>
    <t>NYU Graduate Program Committee T/TT/CF</t>
  </si>
  <si>
    <t>NYU Undergraduate Program Committee T/TT/CF</t>
  </si>
  <si>
    <t>NYU Undergraduate Academic Affairs Committee T/TT/CF</t>
  </si>
  <si>
    <t>NYU User Advisory Group T/TT/CF</t>
  </si>
  <si>
    <t>Net ID</t>
  </si>
  <si>
    <t>Full Name</t>
  </si>
  <si>
    <t>Title</t>
  </si>
  <si>
    <t>Employee</t>
  </si>
  <si>
    <t>Track Type</t>
  </si>
  <si>
    <t>Email Address</t>
  </si>
  <si>
    <t>Altman, Susan</t>
  </si>
  <si>
    <t>Clinical Assistant Professor</t>
  </si>
  <si>
    <t>Clinical</t>
  </si>
  <si>
    <t>altmas01@nyu.edu</t>
  </si>
  <si>
    <t>Anastasi, Joyce K</t>
  </si>
  <si>
    <t>Independence Foundation Professor Of Nursing</t>
  </si>
  <si>
    <t>ja2188@nyu.edu</t>
  </si>
  <si>
    <t>Biesecker, Babette</t>
  </si>
  <si>
    <t>blc205@nyu.edu</t>
  </si>
  <si>
    <t>Boyar, Karyn Lee</t>
  </si>
  <si>
    <t>kb66@nyu.edu</t>
  </si>
  <si>
    <t>Brennan, Mary</t>
  </si>
  <si>
    <t>Clinical Associate Professor</t>
  </si>
  <si>
    <t>mb78@nyu.edu</t>
  </si>
  <si>
    <t>Brody, Abraham A.</t>
  </si>
  <si>
    <t>Associate Professor, Nursing; NYUSOM, Department of Medicine</t>
  </si>
  <si>
    <t>aab221@nyu.edu</t>
  </si>
  <si>
    <t>Bruno, Carolynn</t>
  </si>
  <si>
    <t>csb6@nyu.edu</t>
  </si>
  <si>
    <t>Bucco, Theresa</t>
  </si>
  <si>
    <t>tb107@nyu.edu</t>
  </si>
  <si>
    <t>Cathcart, Eloise</t>
  </si>
  <si>
    <t>ec92@nyu.edu</t>
  </si>
  <si>
    <t>Cayo, Sandy</t>
  </si>
  <si>
    <t>sc6335@nyu.edu</t>
  </si>
  <si>
    <t>Chen, Leon</t>
  </si>
  <si>
    <t>llc281@nyu.edu</t>
  </si>
  <si>
    <t>Clark-Cutaia, Maya</t>
  </si>
  <si>
    <t>Assistant Professor</t>
  </si>
  <si>
    <t>mc7009@nyu.edu</t>
  </si>
  <si>
    <t>Cohen, Sally</t>
  </si>
  <si>
    <t>Clinical Professor</t>
  </si>
  <si>
    <t>sc5828@nyu.edu</t>
  </si>
  <si>
    <t>Conklin, Danielle</t>
  </si>
  <si>
    <t>dmc473@nyu.edu</t>
  </si>
  <si>
    <t>Cortes, Tara A</t>
  </si>
  <si>
    <t>tc13@nyu.edu</t>
  </si>
  <si>
    <t>Crespo-Fierro, Michele</t>
  </si>
  <si>
    <t>mc96@nyu.edu</t>
  </si>
  <si>
    <t>Day, Jeff</t>
  </si>
  <si>
    <t>jd1824@nyu.edu</t>
  </si>
  <si>
    <t>Djukic, Maja</t>
  </si>
  <si>
    <t>Associate Professor; NYUSOM, Department of Medicine</t>
  </si>
  <si>
    <t>md1359@nyu.edu</t>
  </si>
  <si>
    <t>Dorsen, Caroline G</t>
  </si>
  <si>
    <t>cgd5@nyu.edu</t>
  </si>
  <si>
    <t>Fasolka, Brian</t>
  </si>
  <si>
    <t>bf53@nyu.edu</t>
  </si>
  <si>
    <t>Associate Professor</t>
  </si>
  <si>
    <t>Gilles, Selena A</t>
  </si>
  <si>
    <t>sg141@nyu.edu</t>
  </si>
  <si>
    <t>Godwin, Angela M</t>
  </si>
  <si>
    <t>Clinical Instructor</t>
  </si>
  <si>
    <t>ag1712@nyu.edu</t>
  </si>
  <si>
    <t>Haber, Judith</t>
  </si>
  <si>
    <t>The Ursula Springer Prof in Nursing</t>
  </si>
  <si>
    <t>jh33@nyu.edu</t>
  </si>
  <si>
    <t>Hallas, Donna M</t>
  </si>
  <si>
    <t>dh88@nyu.edu</t>
  </si>
  <si>
    <t>Herrmann, Linda</t>
  </si>
  <si>
    <t>llh8@nyu.edu</t>
  </si>
  <si>
    <t>Jeffers, Laurie S</t>
  </si>
  <si>
    <t>lsj3@nyu.edu</t>
  </si>
  <si>
    <t>Keating, Stacen</t>
  </si>
  <si>
    <t>sk3038@nyu.edu</t>
  </si>
  <si>
    <t>Klar, Robin</t>
  </si>
  <si>
    <t>rtk3@nyu.edu</t>
  </si>
  <si>
    <t>Knapp, Michelle M</t>
  </si>
  <si>
    <t>mk3461@nyu.edu</t>
  </si>
  <si>
    <t>Knight, Candice</t>
  </si>
  <si>
    <t>ck79@nyu.edu</t>
  </si>
  <si>
    <t>Kovner, Christine T</t>
  </si>
  <si>
    <t>Mathy Mezey Professor of Geriatric Nursing</t>
  </si>
  <si>
    <t>ctk1@nyu.edu</t>
  </si>
  <si>
    <t>Lanier, Yzette</t>
  </si>
  <si>
    <t>yl69@nyu.edu</t>
  </si>
  <si>
    <t>Latimer, Beth</t>
  </si>
  <si>
    <t>bl11@nyu.edu</t>
  </si>
  <si>
    <t>Lim, Fidelindo</t>
  </si>
  <si>
    <t>fl9@nyu.edu</t>
  </si>
  <si>
    <t>Lyndon, Audrey</t>
  </si>
  <si>
    <t>Professor</t>
  </si>
  <si>
    <t>al6148@nyu.edu</t>
  </si>
  <si>
    <t>Ma, Chenjuan</t>
  </si>
  <si>
    <t>cm4215@nyu.edu</t>
  </si>
  <si>
    <t>McCabe, Donna E</t>
  </si>
  <si>
    <t>dem216@nyu.edu</t>
  </si>
  <si>
    <t>McCarthy, Margaret</t>
  </si>
  <si>
    <t>mmm529@nyu.edu</t>
  </si>
  <si>
    <t>Mendoza, Maria A</t>
  </si>
  <si>
    <t>mam786@nyu.edu</t>
  </si>
  <si>
    <t>Merriman, John</t>
  </si>
  <si>
    <t>jm7610@nyu.edu</t>
  </si>
  <si>
    <t>Morelli-Walsh, Melissa C</t>
  </si>
  <si>
    <t>morelc01@nyu.edu</t>
  </si>
  <si>
    <t>Nahum, Jennifer L</t>
  </si>
  <si>
    <t>jm5421@nyu.edu</t>
  </si>
  <si>
    <t>Navarra, Ann-Margaret</t>
  </si>
  <si>
    <t>amd363@nyu.edu</t>
  </si>
  <si>
    <t>Nelson, Noreen</t>
  </si>
  <si>
    <t>nn21@nyu.edu</t>
  </si>
  <si>
    <t>Park, Chin</t>
  </si>
  <si>
    <t>cp116@nyu.edu</t>
  </si>
  <si>
    <t>Quinones, Saribel G</t>
  </si>
  <si>
    <t>garcis04@nyu.edu</t>
  </si>
  <si>
    <t>Ramos, S. Raquel</t>
  </si>
  <si>
    <t>srp378@nyu.edu</t>
  </si>
  <si>
    <t>Rempel, Irene</t>
  </si>
  <si>
    <t>ir35@nyu.edu</t>
  </si>
  <si>
    <t>Rodriguez, Karla G</t>
  </si>
  <si>
    <t>kgr215@nyu.edu</t>
  </si>
  <si>
    <t>Slater, Larry Z</t>
  </si>
  <si>
    <t>ls195@nyu.edu</t>
  </si>
  <si>
    <t>Squires, Allison P</t>
  </si>
  <si>
    <t>aps6@nyu.edu</t>
  </si>
  <si>
    <t>Stimpfel, Amy W</t>
  </si>
  <si>
    <t>as8078@nyu.edu</t>
  </si>
  <si>
    <t>Sultana, Nadia</t>
  </si>
  <si>
    <t>ns56@nyu.edu</t>
  </si>
  <si>
    <t>Taub, Leslie-Faith M</t>
  </si>
  <si>
    <t>lft2@nyu.edu</t>
  </si>
  <si>
    <t>Taylor, Jacquelyn</t>
  </si>
  <si>
    <t>jt139@nyu.edu</t>
  </si>
  <si>
    <t>Van Cleave, Janet H</t>
  </si>
  <si>
    <t>jvc221@nyu.edu</t>
  </si>
  <si>
    <t>Van Devanter, Nancy L</t>
  </si>
  <si>
    <t>nvd2@nyu.edu</t>
  </si>
  <si>
    <t>Vaughan Dickson, Victoria</t>
  </si>
  <si>
    <t>vd30@nyu.edu</t>
  </si>
  <si>
    <t>Vetter, Mary Jo</t>
  </si>
  <si>
    <t>mjv5@nyu.edu</t>
  </si>
  <si>
    <t>Vorderstrasse, Allison</t>
  </si>
  <si>
    <t>av92@nyu.edu</t>
  </si>
  <si>
    <t>Wholihan, Dorothy J.</t>
  </si>
  <si>
    <t>dw57@nyu.edu</t>
  </si>
  <si>
    <t>Wright, Fay</t>
  </si>
  <si>
    <t>fw1@nyu.edu</t>
  </si>
  <si>
    <t>Wu, Bei</t>
  </si>
  <si>
    <t>Professor, Nursing; NYU College of Dentistry, Ashman Department of Periodontology &amp; Implant Dentistry</t>
  </si>
  <si>
    <t>bw75@nyu.edu</t>
  </si>
  <si>
    <t>TT</t>
  </si>
  <si>
    <t>Employee Name - TT</t>
  </si>
  <si>
    <t>Last Name</t>
  </si>
  <si>
    <t>First Name</t>
  </si>
  <si>
    <t>Altman</t>
  </si>
  <si>
    <t>Anastasi</t>
  </si>
  <si>
    <t>Biesecker</t>
  </si>
  <si>
    <t>Boyar</t>
  </si>
  <si>
    <t>Brennan</t>
  </si>
  <si>
    <t>Brody</t>
  </si>
  <si>
    <t>Bruno</t>
  </si>
  <si>
    <t>Bucco</t>
  </si>
  <si>
    <t>Cathcart</t>
  </si>
  <si>
    <t>Cayo</t>
  </si>
  <si>
    <t>Chen</t>
  </si>
  <si>
    <t>Clark-Cutaia</t>
  </si>
  <si>
    <t>Cohen</t>
  </si>
  <si>
    <t>Conklin</t>
  </si>
  <si>
    <t>Cortes</t>
  </si>
  <si>
    <t>Crespo-Fierro</t>
  </si>
  <si>
    <t>Day</t>
  </si>
  <si>
    <t>Djukic</t>
  </si>
  <si>
    <t>Dorsen</t>
  </si>
  <si>
    <t>Fasolka</t>
  </si>
  <si>
    <t>Gilles</t>
  </si>
  <si>
    <t>Godwin</t>
  </si>
  <si>
    <t>Haber</t>
  </si>
  <si>
    <t>Hallas</t>
  </si>
  <si>
    <t>Herrmann</t>
  </si>
  <si>
    <t>Jeffers</t>
  </si>
  <si>
    <t>Keating</t>
  </si>
  <si>
    <t>Klar</t>
  </si>
  <si>
    <t>Knapp</t>
  </si>
  <si>
    <t>Knight</t>
  </si>
  <si>
    <t>Kovner</t>
  </si>
  <si>
    <t>Lanier</t>
  </si>
  <si>
    <t>Latimer</t>
  </si>
  <si>
    <t>Lim</t>
  </si>
  <si>
    <t>Lyndon</t>
  </si>
  <si>
    <t>Ma</t>
  </si>
  <si>
    <t>McCabe</t>
  </si>
  <si>
    <t>McCarthy</t>
  </si>
  <si>
    <t>Mendoza</t>
  </si>
  <si>
    <t>Merriman</t>
  </si>
  <si>
    <t>Morelli-Walsh</t>
  </si>
  <si>
    <t>Nahum</t>
  </si>
  <si>
    <t>Navarra</t>
  </si>
  <si>
    <t>Nelson</t>
  </si>
  <si>
    <t>Park</t>
  </si>
  <si>
    <t>Quinones</t>
  </si>
  <si>
    <t>Ramos</t>
  </si>
  <si>
    <t>Rempel</t>
  </si>
  <si>
    <t>Rodriguez</t>
  </si>
  <si>
    <t>Slater</t>
  </si>
  <si>
    <t>Squires</t>
  </si>
  <si>
    <t>Stimpfel</t>
  </si>
  <si>
    <t>Sultana</t>
  </si>
  <si>
    <t>Taub</t>
  </si>
  <si>
    <t>Taylor</t>
  </si>
  <si>
    <t>Van Cleave</t>
  </si>
  <si>
    <t>Van Devanter</t>
  </si>
  <si>
    <t>Vaughan Dickson</t>
  </si>
  <si>
    <t>Vetter</t>
  </si>
  <si>
    <t>Vorderstrasse</t>
  </si>
  <si>
    <t>Wholihan</t>
  </si>
  <si>
    <t>Wright</t>
  </si>
  <si>
    <t>Wu</t>
  </si>
  <si>
    <t>CF</t>
  </si>
  <si>
    <t>T</t>
  </si>
  <si>
    <t>NetID</t>
  </si>
  <si>
    <t>1-OnCommittee</t>
  </si>
  <si>
    <t>2-Qualified</t>
  </si>
  <si>
    <t>3-Exclude</t>
  </si>
  <si>
    <t>Status</t>
  </si>
  <si>
    <t>10-PositionFilled</t>
  </si>
  <si>
    <t>altmas01</t>
  </si>
  <si>
    <t>ja2188</t>
  </si>
  <si>
    <t>blc205</t>
  </si>
  <si>
    <t>kb66</t>
  </si>
  <si>
    <t>mb78</t>
  </si>
  <si>
    <t>aab221</t>
  </si>
  <si>
    <t>csb6</t>
  </si>
  <si>
    <t>tb107</t>
  </si>
  <si>
    <t>Cardaci, Regina</t>
  </si>
  <si>
    <t>rc4299@nyu.edu</t>
  </si>
  <si>
    <t>rc4299</t>
  </si>
  <si>
    <t>ec92</t>
  </si>
  <si>
    <t>sc6335</t>
  </si>
  <si>
    <t>llc281</t>
  </si>
  <si>
    <t>mc7009</t>
  </si>
  <si>
    <t>Clarke, Sean</t>
  </si>
  <si>
    <t>sc7372@nyu.edu</t>
  </si>
  <si>
    <t>sc7372</t>
  </si>
  <si>
    <t>sc5828</t>
  </si>
  <si>
    <t>dmc473</t>
  </si>
  <si>
    <t>tc13</t>
  </si>
  <si>
    <t>mc96</t>
  </si>
  <si>
    <t>David, Daniel</t>
  </si>
  <si>
    <t>dd119@nyu.edu</t>
  </si>
  <si>
    <t>dd119</t>
  </si>
  <si>
    <t>jd1824</t>
  </si>
  <si>
    <t>md1359</t>
  </si>
  <si>
    <t>cgd5</t>
  </si>
  <si>
    <t>Ea, Emerson</t>
  </si>
  <si>
    <t>eee203@nyu.edu</t>
  </si>
  <si>
    <t>eee203</t>
  </si>
  <si>
    <t>bf53</t>
  </si>
  <si>
    <t>Garcia, Natalie L.</t>
  </si>
  <si>
    <t>nl61@nyu.edu</t>
  </si>
  <si>
    <t>nl61</t>
  </si>
  <si>
    <t>sg141</t>
  </si>
  <si>
    <t>Glassman, Kimberly S</t>
  </si>
  <si>
    <t>glassk01@nyu.edu</t>
  </si>
  <si>
    <t>glassk01</t>
  </si>
  <si>
    <t>ag1712</t>
  </si>
  <si>
    <t>Graham-Perel, Ashley</t>
  </si>
  <si>
    <t>agp363@nyu.edu</t>
  </si>
  <si>
    <t>agp363</t>
  </si>
  <si>
    <t>jh33</t>
  </si>
  <si>
    <t>dh88</t>
  </si>
  <si>
    <t>llh8</t>
  </si>
  <si>
    <t>lsj3</t>
  </si>
  <si>
    <t>sk3038</t>
  </si>
  <si>
    <t>rtk3</t>
  </si>
  <si>
    <t>mk3461</t>
  </si>
  <si>
    <t>ck79</t>
  </si>
  <si>
    <t>ctk1</t>
  </si>
  <si>
    <t>yl69</t>
  </si>
  <si>
    <t>bl11</t>
  </si>
  <si>
    <t>fl9</t>
  </si>
  <si>
    <t>Professor, Nursing; NYUSOM, OB/GYN</t>
  </si>
  <si>
    <t>al6148</t>
  </si>
  <si>
    <t>cm4215</t>
  </si>
  <si>
    <t>Malone, Susan</t>
  </si>
  <si>
    <t>Tenure</t>
  </si>
  <si>
    <t>sm7760@nyu.edu</t>
  </si>
  <si>
    <t>sm7760</t>
  </si>
  <si>
    <t>dem216</t>
  </si>
  <si>
    <t>mmm529</t>
  </si>
  <si>
    <t>Melkus, Gail D'Eramo</t>
  </si>
  <si>
    <t>Florence &amp; William Downs Professor In Nursing Research</t>
  </si>
  <si>
    <t>gdm3@nyu.edu</t>
  </si>
  <si>
    <t>gdm3</t>
  </si>
  <si>
    <t>mam786</t>
  </si>
  <si>
    <t>Merlo, Gia</t>
  </si>
  <si>
    <t>Clinical Professor, Nursing; NYUSOM Department of Psychiatry</t>
  </si>
  <si>
    <t>gm132@nyu.edu</t>
  </si>
  <si>
    <t>gm132</t>
  </si>
  <si>
    <t>jm7610</t>
  </si>
  <si>
    <t>morelc01</t>
  </si>
  <si>
    <t>jm5421</t>
  </si>
  <si>
    <t>amd363</t>
  </si>
  <si>
    <t>nn21</t>
  </si>
  <si>
    <t>Pace, James C</t>
  </si>
  <si>
    <t>jcp12@nyu.edu</t>
  </si>
  <si>
    <t>jcp12</t>
  </si>
  <si>
    <t>cp116</t>
  </si>
  <si>
    <t>garcis04</t>
  </si>
  <si>
    <t>srp378</t>
  </si>
  <si>
    <t>ir35</t>
  </si>
  <si>
    <t>kgr215</t>
  </si>
  <si>
    <t>Sadarangani, Tina</t>
  </si>
  <si>
    <t>trs233@nyu.edu</t>
  </si>
  <si>
    <t>trs233</t>
  </si>
  <si>
    <t>ls195</t>
  </si>
  <si>
    <t>aps6</t>
  </si>
  <si>
    <t>as8078</t>
  </si>
  <si>
    <t>Sullivan-Marx, Eileen M.</t>
  </si>
  <si>
    <t>Erline Perkins McGriff Professor Of Nursing</t>
  </si>
  <si>
    <t>esm8@nyu.edu</t>
  </si>
  <si>
    <t>esm8</t>
  </si>
  <si>
    <t>ns56</t>
  </si>
  <si>
    <t>lft2</t>
  </si>
  <si>
    <t>Professor, Nursing; NYUSOM, Department of Medicine</t>
  </si>
  <si>
    <t>jt139</t>
  </si>
  <si>
    <t>jvc221</t>
  </si>
  <si>
    <t>nvd2</t>
  </si>
  <si>
    <t>vd30</t>
  </si>
  <si>
    <t>mjv5</t>
  </si>
  <si>
    <t>Villacarlos-Philip, Princess</t>
  </si>
  <si>
    <t>pvv207@nyu.edu</t>
  </si>
  <si>
    <t>pvv207</t>
  </si>
  <si>
    <t>av92</t>
  </si>
  <si>
    <t>dw57</t>
  </si>
  <si>
    <t>fw1</t>
  </si>
  <si>
    <t>bw75</t>
  </si>
  <si>
    <t>Cardaci</t>
  </si>
  <si>
    <t>Clarke</t>
  </si>
  <si>
    <t>David</t>
  </si>
  <si>
    <t>Ea</t>
  </si>
  <si>
    <t>Garcia</t>
  </si>
  <si>
    <t>Glassman</t>
  </si>
  <si>
    <t>Graham-Perel</t>
  </si>
  <si>
    <t>Malone</t>
  </si>
  <si>
    <t>Melkus</t>
  </si>
  <si>
    <t>Merlo</t>
  </si>
  <si>
    <t>Pace</t>
  </si>
  <si>
    <t>Sadarangani</t>
  </si>
  <si>
    <t>Sullivan-Marx</t>
  </si>
  <si>
    <t>Villacarlos-Philip</t>
  </si>
  <si>
    <t>Susan</t>
  </si>
  <si>
    <t>Joyce K</t>
  </si>
  <si>
    <t>Babette</t>
  </si>
  <si>
    <t>Karyn Lee</t>
  </si>
  <si>
    <t>Mary</t>
  </si>
  <si>
    <t>Abraham A.</t>
  </si>
  <si>
    <t>Carolynn</t>
  </si>
  <si>
    <t>Theresa</t>
  </si>
  <si>
    <t>Regina</t>
  </si>
  <si>
    <t>Eloise</t>
  </si>
  <si>
    <t>Sandy</t>
  </si>
  <si>
    <t>Leon</t>
  </si>
  <si>
    <t>Maya</t>
  </si>
  <si>
    <t>Sean</t>
  </si>
  <si>
    <t>Sally</t>
  </si>
  <si>
    <t>Danielle</t>
  </si>
  <si>
    <t>Tara A</t>
  </si>
  <si>
    <t>Michele</t>
  </si>
  <si>
    <t>Daniel</t>
  </si>
  <si>
    <t>Jeff</t>
  </si>
  <si>
    <t>Maja</t>
  </si>
  <si>
    <t>Caroline G</t>
  </si>
  <si>
    <t>Emerson</t>
  </si>
  <si>
    <t>Brian</t>
  </si>
  <si>
    <t>Natalie L.</t>
  </si>
  <si>
    <t>Selena A</t>
  </si>
  <si>
    <t>Kimberly S</t>
  </si>
  <si>
    <t>Angela M</t>
  </si>
  <si>
    <t>Ashley</t>
  </si>
  <si>
    <t>Judith</t>
  </si>
  <si>
    <t>Donna M</t>
  </si>
  <si>
    <t>Linda</t>
  </si>
  <si>
    <t>Laurie S</t>
  </si>
  <si>
    <t>Stacen</t>
  </si>
  <si>
    <t>Robin</t>
  </si>
  <si>
    <t>Michelle M</t>
  </si>
  <si>
    <t>Candice</t>
  </si>
  <si>
    <t>Christine T</t>
  </si>
  <si>
    <t>Yzette</t>
  </si>
  <si>
    <t>Beth</t>
  </si>
  <si>
    <t>Fidelindo</t>
  </si>
  <si>
    <t>Audrey</t>
  </si>
  <si>
    <t>Chenjuan</t>
  </si>
  <si>
    <t>Donna E</t>
  </si>
  <si>
    <t>Margaret</t>
  </si>
  <si>
    <t>Gail D'Eramo</t>
  </si>
  <si>
    <t>Maria A</t>
  </si>
  <si>
    <t>Gia</t>
  </si>
  <si>
    <t>John</t>
  </si>
  <si>
    <t>Melissa C</t>
  </si>
  <si>
    <t>Jennifer L</t>
  </si>
  <si>
    <t>Ann-Margaret</t>
  </si>
  <si>
    <t>Noreen</t>
  </si>
  <si>
    <t>James C</t>
  </si>
  <si>
    <t>Chin</t>
  </si>
  <si>
    <t>Saribel G</t>
  </si>
  <si>
    <t>S. Raquel</t>
  </si>
  <si>
    <t>Irene</t>
  </si>
  <si>
    <t>Karla G</t>
  </si>
  <si>
    <t>Tina</t>
  </si>
  <si>
    <t>Larry Z</t>
  </si>
  <si>
    <t>Allison P</t>
  </si>
  <si>
    <t>Amy W</t>
  </si>
  <si>
    <t>Eileen M.</t>
  </si>
  <si>
    <t>Nadia</t>
  </si>
  <si>
    <t>Leslie-Faith M</t>
  </si>
  <si>
    <t>Jacquelyn</t>
  </si>
  <si>
    <t>Janet H</t>
  </si>
  <si>
    <t>Nancy L</t>
  </si>
  <si>
    <t>Victoria</t>
  </si>
  <si>
    <t>Mary Jo</t>
  </si>
  <si>
    <t>Princess</t>
  </si>
  <si>
    <t>Allison</t>
  </si>
  <si>
    <t>Dorothy J.</t>
  </si>
  <si>
    <t>Fay</t>
  </si>
  <si>
    <t>Bei</t>
  </si>
  <si>
    <t>Name</t>
  </si>
  <si>
    <t>Employee Name - Net ID</t>
  </si>
  <si>
    <t>Allison P Squires(aps6)</t>
  </si>
  <si>
    <t>Bei Wu(bw75)</t>
  </si>
  <si>
    <t>Caroline G Dorsen(cgd5)</t>
  </si>
  <si>
    <t>Christine T Kovner(ctk1)</t>
  </si>
  <si>
    <t>Donna E McCabe(dem216)</t>
  </si>
  <si>
    <t>Fay Wright(fw1)</t>
  </si>
  <si>
    <t>Fidelindo Lim(fl9)</t>
  </si>
  <si>
    <t>John Merriman(jm7610)</t>
  </si>
  <si>
    <t>Judith Haber(jh33)</t>
  </si>
  <si>
    <t>Larry Z Slater(ls195)</t>
  </si>
  <si>
    <t>Margaret McCarthy(mmm529)</t>
  </si>
  <si>
    <t>Robin Klar(rtk3)</t>
  </si>
  <si>
    <t>Sally Cohen(sc5828)</t>
  </si>
  <si>
    <t>Saribel G Quinones(garcis04)</t>
  </si>
  <si>
    <t>Sean Clarke(sc7372)</t>
  </si>
  <si>
    <t>Selena A Gilles(sg141)</t>
  </si>
  <si>
    <t>Susan Altman(altmas01)</t>
  </si>
  <si>
    <t>Tara A Cortes(tc13)</t>
  </si>
  <si>
    <t>Victoria Vaughan Dickson(vd30)</t>
  </si>
  <si>
    <t>Abraham A. Brody</t>
  </si>
  <si>
    <t>Allison P Squires</t>
  </si>
  <si>
    <t>Amy W Stimpfel</t>
  </si>
  <si>
    <t>Angela M Godwin</t>
  </si>
  <si>
    <t>Ann-Margaret Navarra</t>
  </si>
  <si>
    <t>Ashley Graham-Perel</t>
  </si>
  <si>
    <t>Audrey Lyndon</t>
  </si>
  <si>
    <t>Beth Latimer</t>
  </si>
  <si>
    <t>Brian Fasolka</t>
  </si>
  <si>
    <t>Candice Knight</t>
  </si>
  <si>
    <t>Caroline G Dorsen</t>
  </si>
  <si>
    <t>Carolynn Bruno</t>
  </si>
  <si>
    <t>Chenjuan Ma</t>
  </si>
  <si>
    <t>Chin Park</t>
  </si>
  <si>
    <t>Christine T Kovner</t>
  </si>
  <si>
    <t>Daniel David</t>
  </si>
  <si>
    <t>Danielle Conklin</t>
  </si>
  <si>
    <t>Donna E McCabe</t>
  </si>
  <si>
    <t>Donna M Hallas</t>
  </si>
  <si>
    <t>Dorothy J. Wholihan</t>
  </si>
  <si>
    <t>Eileen M. Sullivan-Marx</t>
  </si>
  <si>
    <t>Emerson Ea</t>
  </si>
  <si>
    <t>Fidelindo Lim</t>
  </si>
  <si>
    <t>Gail D'Eramo Melkus</t>
  </si>
  <si>
    <t>Gia Merlo</t>
  </si>
  <si>
    <t>Irene Rempel</t>
  </si>
  <si>
    <t>Jacquelyn Taylor</t>
  </si>
  <si>
    <t>James C Pace</t>
  </si>
  <si>
    <t>Janet H Van Cleave</t>
  </si>
  <si>
    <t>Jennifer L Nahum</t>
  </si>
  <si>
    <t>Joyce K Anastasi</t>
  </si>
  <si>
    <t>Judith Haber</t>
  </si>
  <si>
    <t>Karla G Rodriguez</t>
  </si>
  <si>
    <t>Karyn Lee Boyar</t>
  </si>
  <si>
    <t>Kimberly S Glassman</t>
  </si>
  <si>
    <t>Larry Z Slater</t>
  </si>
  <si>
    <t>Laurie S Jeffers</t>
  </si>
  <si>
    <t>Leon Chen</t>
  </si>
  <si>
    <t>Leslie-Faith M Taub</t>
  </si>
  <si>
    <t>Linda Herrmann</t>
  </si>
  <si>
    <t>Maria A Mendoza</t>
  </si>
  <si>
    <t>Maya Clark-Cutaia</t>
  </si>
  <si>
    <t>Melissa C Morelli-Walsh</t>
  </si>
  <si>
    <t>Michelle M Knapp</t>
  </si>
  <si>
    <t>Nancy L Van Devanter</t>
  </si>
  <si>
    <t>Natalie L. Garcia</t>
  </si>
  <si>
    <t>Noreen Nelson</t>
  </si>
  <si>
    <t>Princess Villacarlos-Philip</t>
  </si>
  <si>
    <t>Regina Cardaci</t>
  </si>
  <si>
    <t>S. Raquel Ramos</t>
  </si>
  <si>
    <t>Saribel G Quinones</t>
  </si>
  <si>
    <t>Selena A Gilles</t>
  </si>
  <si>
    <t>Stacen Keating</t>
  </si>
  <si>
    <t>Susan Malone</t>
  </si>
  <si>
    <t>Tara A Cortes</t>
  </si>
  <si>
    <t>Theresa Bucco</t>
  </si>
  <si>
    <t>Tina Sadarangani</t>
  </si>
  <si>
    <t>Victoria Vaughan Dickson</t>
  </si>
  <si>
    <t>2020-21 (New Format)</t>
  </si>
  <si>
    <t>Allison P Squires(aps6-T)</t>
  </si>
  <si>
    <t>Bei Wu(bw75-T)</t>
  </si>
  <si>
    <t>Caroline G Dorsen(cgd5-T)</t>
  </si>
  <si>
    <t>Christine T Kovner(ctk1-T)</t>
  </si>
  <si>
    <t>Donna E McCabe(dem216-CF)</t>
  </si>
  <si>
    <t>Fay Wright(fw1-T)</t>
  </si>
  <si>
    <t>Fidelindo Lim(fl9-CF)</t>
  </si>
  <si>
    <t>John Merriman(jm7610-T)</t>
  </si>
  <si>
    <t>Judith Haber(jh33-T)</t>
  </si>
  <si>
    <t>Larry Z Slater(ls195-CF)</t>
  </si>
  <si>
    <t>Margaret McCarthy(mmm529-T)</t>
  </si>
  <si>
    <t>Robin Klar(rtk3-CF)</t>
  </si>
  <si>
    <t>Sally Cohen(sc5828-CF)</t>
  </si>
  <si>
    <t>Saribel G Quinones(garcis04-CF)</t>
  </si>
  <si>
    <t>Sean Clarke(sc7372-T)</t>
  </si>
  <si>
    <t>Selena A Gilles(sg141-CF)</t>
  </si>
  <si>
    <t>Susan Altman(altmas01-CF)</t>
  </si>
  <si>
    <t>Tara A Cortes(tc13-CF)</t>
  </si>
  <si>
    <t>Victoria Vaughan Dickson(vd30-T)</t>
  </si>
  <si>
    <t>2020-21 (OLD Format)</t>
  </si>
  <si>
    <t>1 Tenure/Tenure Track/Clinical Faculty</t>
  </si>
  <si>
    <t>CF Total</t>
  </si>
  <si>
    <t>Count</t>
  </si>
  <si>
    <t>TT Total</t>
  </si>
  <si>
    <t>T Total</t>
  </si>
  <si>
    <t>Open Positions</t>
  </si>
  <si>
    <t>Total</t>
  </si>
  <si>
    <t>List of Full Time Faculty and Senior Research Scientists - As of 02/06/2020</t>
  </si>
  <si>
    <t>Tenure Track</t>
  </si>
  <si>
    <t>Employee Name | TT</t>
  </si>
  <si>
    <t>Sum(CF+TT+T) / Col Count</t>
  </si>
  <si>
    <t>77 / 77</t>
  </si>
  <si>
    <t>Maya Clark-Cutaia|TT</t>
  </si>
  <si>
    <t>Maya Clark-Cutaia|mc7009</t>
  </si>
  <si>
    <t>Daniel David|TT</t>
  </si>
  <si>
    <t>Daniel David|dd119</t>
  </si>
  <si>
    <t>Maja Djukic|TT</t>
  </si>
  <si>
    <t>Maja Djukic|md1359</t>
  </si>
  <si>
    <t>Caroline G Dorsen|TT</t>
  </si>
  <si>
    <t>Caroline G Dorsen|cgd5</t>
  </si>
  <si>
    <t>Yzette Lanier|TT</t>
  </si>
  <si>
    <t>Yzette Lanier|yl69</t>
  </si>
  <si>
    <t>Chenjuan Ma|TT</t>
  </si>
  <si>
    <t>Chenjuan Ma|cm4215</t>
  </si>
  <si>
    <t>Susan Malone|TT</t>
  </si>
  <si>
    <t>Susan Malone|sm7760</t>
  </si>
  <si>
    <t>Margaret McCarthy|TT</t>
  </si>
  <si>
    <t>Margaret McCarthy|mmm529</t>
  </si>
  <si>
    <t>John Merriman|TT</t>
  </si>
  <si>
    <t>John Merriman|jm7610</t>
  </si>
  <si>
    <t>Ann-Margaret Navarra|TT</t>
  </si>
  <si>
    <t>Ann-Margaret Navarra|amd363</t>
  </si>
  <si>
    <t>S. Raquel Ramos|TT</t>
  </si>
  <si>
    <t>S. Raquel Ramos|srp378</t>
  </si>
  <si>
    <t>Tina Sadarangani|TT</t>
  </si>
  <si>
    <t>Tina Sadarangani|trs233</t>
  </si>
  <si>
    <t>Amy W Stimpfel|TT</t>
  </si>
  <si>
    <t>Amy W Stimpfel|as8078</t>
  </si>
  <si>
    <t>Janet H Van Cleave|TT</t>
  </si>
  <si>
    <t>Janet H Van Cleave|jvc221</t>
  </si>
  <si>
    <t>Fay Wright|TT</t>
  </si>
  <si>
    <t>Fay Wright|fw1</t>
  </si>
  <si>
    <t>Joyce K Anastasi|T</t>
  </si>
  <si>
    <t>Joyce K Anastasi|ja2188</t>
  </si>
  <si>
    <t>Abraham A. Brody|T</t>
  </si>
  <si>
    <t>Abraham A. Brody|aab221</t>
  </si>
  <si>
    <t>Judith Haber|T</t>
  </si>
  <si>
    <t>Judith Haber|jh33</t>
  </si>
  <si>
    <t>Christine T Kovner|T</t>
  </si>
  <si>
    <t>Christine T Kovner|ctk1</t>
  </si>
  <si>
    <t>Audrey Lyndon|T</t>
  </si>
  <si>
    <t>Audrey Lyndon|al6148</t>
  </si>
  <si>
    <t>Gail D'Eramo Melkus|T</t>
  </si>
  <si>
    <t>Gail D'Eramo Melkus|gdm3</t>
  </si>
  <si>
    <t>Allison P Squires|T</t>
  </si>
  <si>
    <t>Allison P Squires|aps6</t>
  </si>
  <si>
    <t>Eileen M. Sullivan-Marx|T</t>
  </si>
  <si>
    <t>Eileen M. Sullivan-Marx|esm8</t>
  </si>
  <si>
    <t>Jacquelyn Taylor|T</t>
  </si>
  <si>
    <t>Jacquelyn Taylor|jt139</t>
  </si>
  <si>
    <t>Nancy L Van Devanter|T</t>
  </si>
  <si>
    <t>Nancy L Van Devanter|nvd2</t>
  </si>
  <si>
    <t>Victoria Vaughan Dickson|T</t>
  </si>
  <si>
    <t>Victoria Vaughan Dickson|vd30</t>
  </si>
  <si>
    <t>Allison Vorderstrasse|T</t>
  </si>
  <si>
    <t>Allison Vorderstrasse|av92</t>
  </si>
  <si>
    <t>Bei Wu|T</t>
  </si>
  <si>
    <t>Bei Wu|bw75</t>
  </si>
  <si>
    <t>Sean Clarke|T</t>
  </si>
  <si>
    <t>Sean Clarke|sc7372</t>
  </si>
  <si>
    <t>Susan Altman|CF</t>
  </si>
  <si>
    <t>Susan Altman|altmas01</t>
  </si>
  <si>
    <t>Babette Biesecker|CF</t>
  </si>
  <si>
    <t>Babette Biesecker|blc205</t>
  </si>
  <si>
    <t>Karyn Lee Boyar|CF</t>
  </si>
  <si>
    <t>Karyn Lee Boyar|kb66</t>
  </si>
  <si>
    <t>Mary Brennan|CF</t>
  </si>
  <si>
    <t>Mary Brennan|mb78</t>
  </si>
  <si>
    <t>Carolynn Bruno|CF</t>
  </si>
  <si>
    <t>Carolynn Bruno|csb6</t>
  </si>
  <si>
    <t>Theresa Bucco|CF</t>
  </si>
  <si>
    <t>Theresa Bucco|tb107</t>
  </si>
  <si>
    <t>Regina Cardaci|CF</t>
  </si>
  <si>
    <t>Regina Cardaci|rc4299</t>
  </si>
  <si>
    <t>Eloise Cathcart|CF</t>
  </si>
  <si>
    <t>Eloise Cathcart|ec92</t>
  </si>
  <si>
    <t>Sandy Cayo|CF</t>
  </si>
  <si>
    <t>Sandy Cayo|sc6335</t>
  </si>
  <si>
    <t>Leon Chen|CF</t>
  </si>
  <si>
    <t>Leon Chen|llc281</t>
  </si>
  <si>
    <t>Sally Cohen|CF</t>
  </si>
  <si>
    <t>Sally Cohen|sc5828</t>
  </si>
  <si>
    <t>Danielle Conklin|CF</t>
  </si>
  <si>
    <t>Danielle Conklin|dmc473</t>
  </si>
  <si>
    <t>Tara A Cortes|CF</t>
  </si>
  <si>
    <t>Tara A Cortes|tc13</t>
  </si>
  <si>
    <t>Michele Crespo-Fierro|CF</t>
  </si>
  <si>
    <t>Michele Crespo-Fierro|mc96</t>
  </si>
  <si>
    <t>Jeff Day|CF</t>
  </si>
  <si>
    <t>Jeff Day|jd1824</t>
  </si>
  <si>
    <t>Emerson Ea|CF</t>
  </si>
  <si>
    <t>Emerson Ea|eee203</t>
  </si>
  <si>
    <t>Brian Fasolka|CF</t>
  </si>
  <si>
    <t>Brian Fasolka|bf53</t>
  </si>
  <si>
    <t>Natalie L. Garcia|CF</t>
  </si>
  <si>
    <t>Natalie L. Garcia|nl61</t>
  </si>
  <si>
    <t>Selena A Gilles|CF</t>
  </si>
  <si>
    <t>Selena A Gilles|sg141</t>
  </si>
  <si>
    <t>Kimberly S Glassman|CF</t>
  </si>
  <si>
    <t>Kimberly S Glassman|glassk01</t>
  </si>
  <si>
    <t>Angela M Godwin|CF</t>
  </si>
  <si>
    <t>Angela M Godwin|ag1712</t>
  </si>
  <si>
    <t>Ashley Graham-Perel|CF</t>
  </si>
  <si>
    <t>Ashley Graham-Perel|agp363</t>
  </si>
  <si>
    <t>Donna M Hallas|CF</t>
  </si>
  <si>
    <t>Donna M Hallas|dh88</t>
  </si>
  <si>
    <t>Linda Herrmann|CF</t>
  </si>
  <si>
    <t>Linda Herrmann|llh8</t>
  </si>
  <si>
    <t>Laurie S Jeffers|CF</t>
  </si>
  <si>
    <t>Laurie S Jeffers|lsj3</t>
  </si>
  <si>
    <t>Stacen Keating|CF</t>
  </si>
  <si>
    <t>Stacen Keating|sk3038</t>
  </si>
  <si>
    <t>Robin Klar|CF</t>
  </si>
  <si>
    <t>Robin Klar|rtk3</t>
  </si>
  <si>
    <t>Michelle M Knapp|CF</t>
  </si>
  <si>
    <t>Michelle M Knapp|mk3461</t>
  </si>
  <si>
    <t>Candice Knight|CF</t>
  </si>
  <si>
    <t>Candice Knight|ck79</t>
  </si>
  <si>
    <t>Beth Latimer|CF</t>
  </si>
  <si>
    <t>Beth Latimer|bl11</t>
  </si>
  <si>
    <t>Fidelindo Lim|CF</t>
  </si>
  <si>
    <t>Fidelindo Lim|fl9</t>
  </si>
  <si>
    <t>Donna E McCabe|CF</t>
  </si>
  <si>
    <t>Donna E McCabe|dem216</t>
  </si>
  <si>
    <t>Maria A Mendoza|CF</t>
  </si>
  <si>
    <t>Maria A Mendoza|mam786</t>
  </si>
  <si>
    <t>Gia Merlo|CF</t>
  </si>
  <si>
    <t>Gia Merlo|gm132</t>
  </si>
  <si>
    <t>Melissa C Morelli-Walsh|CF</t>
  </si>
  <si>
    <t>Melissa C Morelli-Walsh|morelc01</t>
  </si>
  <si>
    <t>Jennifer L Nahum|CF</t>
  </si>
  <si>
    <t>Jennifer L Nahum|jm5421</t>
  </si>
  <si>
    <t>Noreen Nelson|CF</t>
  </si>
  <si>
    <t>Noreen Nelson|nn21</t>
  </si>
  <si>
    <t>James C Pace|CF</t>
  </si>
  <si>
    <t>James C Pace|jcp12</t>
  </si>
  <si>
    <t>Chin Park|CF</t>
  </si>
  <si>
    <t>Chin Park|cp116</t>
  </si>
  <si>
    <t>Saribel G Quinones|CF</t>
  </si>
  <si>
    <t>Saribel G Quinones|garcis04</t>
  </si>
  <si>
    <t>Irene Rempel|CF</t>
  </si>
  <si>
    <t>Irene Rempel|ir35</t>
  </si>
  <si>
    <t>Karla G Rodriguez|CF</t>
  </si>
  <si>
    <t>Karla G Rodriguez|kgr215</t>
  </si>
  <si>
    <t>Larry Z Slater|CF</t>
  </si>
  <si>
    <t>Larry Z Slater|ls195</t>
  </si>
  <si>
    <t>Nadia Sultana|CF</t>
  </si>
  <si>
    <t>Nadia Sultana|ns56</t>
  </si>
  <si>
    <t>Leslie-Faith M Taub|CF</t>
  </si>
  <si>
    <t>Leslie-Faith M Taub|lft2</t>
  </si>
  <si>
    <t>Mary Jo Vetter|CF</t>
  </si>
  <si>
    <t>Mary Jo Vetter|mjv5</t>
  </si>
  <si>
    <t>Princess Villacarlos-Philip|CF</t>
  </si>
  <si>
    <t>Princess Villacarlos-Philip|pvv207</t>
  </si>
  <si>
    <t>Dorothy J. Wholihan|CF</t>
  </si>
  <si>
    <t>Dorothy J. Wholihan|dw57</t>
  </si>
  <si>
    <t xml:space="preserve">Allison P Squires </t>
  </si>
  <si>
    <t>Beth Latimer (CF)</t>
  </si>
  <si>
    <t>Allison Vorderstrasse FCSC</t>
  </si>
  <si>
    <t xml:space="preserve">Judith Haber </t>
  </si>
  <si>
    <t xml:space="preserve">Christine T Kovner </t>
  </si>
  <si>
    <t>Larry Z Slater CF</t>
  </si>
  <si>
    <t>50-Exception</t>
  </si>
  <si>
    <t>Last Name, First Name</t>
  </si>
  <si>
    <t>Full Name | Net ID</t>
  </si>
  <si>
    <t>Notes</t>
  </si>
  <si>
    <t>1 - Staying</t>
  </si>
  <si>
    <t>100-Leaving</t>
  </si>
  <si>
    <t>95-OnCom+Leav</t>
  </si>
  <si>
    <t>Affiliation - ALL</t>
  </si>
  <si>
    <t>Affiliation - CF</t>
  </si>
  <si>
    <t>Affiliation - T/TT</t>
  </si>
  <si>
    <t>Appointments Reappointment &amp; Promotion</t>
  </si>
  <si>
    <t>Accept</t>
  </si>
  <si>
    <t>Decline</t>
  </si>
  <si>
    <t>Unknown</t>
  </si>
  <si>
    <t>Appointment Promotion &amp; Tenure</t>
  </si>
  <si>
    <t>Term Length (yr)</t>
  </si>
  <si>
    <t>2021-22 (Continuing Members)</t>
  </si>
  <si>
    <t>2020-21 (Current Members)</t>
  </si>
  <si>
    <t>2 year</t>
  </si>
  <si>
    <t>3 year</t>
  </si>
  <si>
    <t>1 year</t>
  </si>
  <si>
    <t>Brian Fasolka (CF)</t>
  </si>
  <si>
    <t>Donna E McCabe (CF)</t>
  </si>
  <si>
    <t>Yzette Lanier (T/TT)</t>
  </si>
  <si>
    <t>Allison Squires( T)</t>
  </si>
  <si>
    <t>Audrey Lyndon (T)</t>
  </si>
  <si>
    <t>Bei Wu (T)</t>
  </si>
  <si>
    <t>Eloise Cathcart (CF )</t>
  </si>
  <si>
    <t>Michelle Knapp</t>
  </si>
  <si>
    <t xml:space="preserve">Bei Wu </t>
  </si>
  <si>
    <t>Tara Cortes</t>
  </si>
  <si>
    <t>ChenJuan Ma</t>
  </si>
  <si>
    <t>Saribel Garcia-Quinones</t>
  </si>
  <si>
    <t>Amy Stimpfel</t>
  </si>
  <si>
    <t xml:space="preserve">Selena Gilles </t>
  </si>
  <si>
    <t>Member (CoCH)</t>
  </si>
  <si>
    <t xml:space="preserve">Jennifer Nahum </t>
  </si>
  <si>
    <t>Karyn Boyar</t>
  </si>
  <si>
    <t>Maria Mendoza</t>
  </si>
  <si>
    <t>Chen Juan Ma</t>
  </si>
  <si>
    <t>Tina Sandarangani</t>
  </si>
  <si>
    <t xml:space="preserve">Beth Latimer </t>
  </si>
  <si>
    <t xml:space="preserve">Donna E McCabe </t>
  </si>
  <si>
    <r>
      <t xml:space="preserve">1 Tenure/Tenure Track/Clinical Faculty </t>
    </r>
    <r>
      <rPr>
        <b/>
        <sz val="11"/>
        <color theme="1"/>
        <rFont val="Calibri"/>
        <family val="2"/>
      </rPr>
      <t xml:space="preserve"> Next election year 2022</t>
    </r>
  </si>
  <si>
    <r>
      <t xml:space="preserve">1 Tenure/Tenure Track/Clinical Faculty  </t>
    </r>
    <r>
      <rPr>
        <b/>
        <sz val="11"/>
        <color theme="1"/>
        <rFont val="Calibri"/>
        <family val="2"/>
      </rPr>
      <t>Next election year 2022</t>
    </r>
  </si>
  <si>
    <t>5 Tenure/Tenure Track/Clinical Faculty</t>
  </si>
  <si>
    <t>For Elections Committee: Meyers Full-Time Faculty List (as of 01/07/2021)</t>
  </si>
  <si>
    <t>Track</t>
  </si>
  <si>
    <t>Work Email Address</t>
  </si>
  <si>
    <t xml:space="preserve">Tenured/Tenure Track </t>
  </si>
  <si>
    <t>Breder, Kelseanne</t>
  </si>
  <si>
    <t>kb3897@nyu.edu</t>
  </si>
  <si>
    <t>kb3897</t>
  </si>
  <si>
    <t>Gonzalez, Velda</t>
  </si>
  <si>
    <t>vg2145@nyu.edu</t>
  </si>
  <si>
    <t>vg2145</t>
  </si>
  <si>
    <t xml:space="preserve">Haber, Judith </t>
  </si>
  <si>
    <t xml:space="preserve">Kovner, Christine T </t>
  </si>
  <si>
    <t xml:space="preserve">Lanier, Yzette </t>
  </si>
  <si>
    <t>Meadows-Oliver, Mikki</t>
  </si>
  <si>
    <t>mm11593@nyu.edu</t>
  </si>
  <si>
    <t>mm11593</t>
  </si>
  <si>
    <t>Ozkara San, Eda</t>
  </si>
  <si>
    <t>eo626@nyu.edu</t>
  </si>
  <si>
    <t>eo626</t>
  </si>
  <si>
    <t>Quinones, Saribel Garcia</t>
  </si>
  <si>
    <t>Schulman-Green, Dena</t>
  </si>
  <si>
    <t>ds6504@nyu.edu</t>
  </si>
  <si>
    <t>ds6504</t>
  </si>
  <si>
    <t>Travers, Jasmine</t>
  </si>
  <si>
    <t>jt129@nyu.edu</t>
  </si>
  <si>
    <t>jt129</t>
  </si>
  <si>
    <t xml:space="preserve">Van Devanter, Nancy L </t>
  </si>
  <si>
    <t>Witkoski Stimpfel, Amy</t>
  </si>
  <si>
    <t>Zheng, Yaguang</t>
  </si>
  <si>
    <t>yz7470@nyu.edu</t>
  </si>
  <si>
    <t>yz7470</t>
  </si>
  <si>
    <t>Data set is as of 01/07/2021)</t>
  </si>
  <si>
    <t>Drop Down List Header (v2)</t>
  </si>
  <si>
    <t>List Item</t>
  </si>
  <si>
    <t>Default (Y)</t>
  </si>
  <si>
    <t>Y</t>
  </si>
  <si>
    <t>Valid</t>
  </si>
  <si>
    <t>Exclude</t>
  </si>
  <si>
    <t>Committee Ballots List</t>
  </si>
  <si>
    <t>HR Data</t>
  </si>
  <si>
    <t>Nomination Status</t>
  </si>
  <si>
    <t>Accepted</t>
  </si>
  <si>
    <t>Declined</t>
  </si>
  <si>
    <t>No Votes</t>
  </si>
  <si>
    <t>Track Abv_x000D_
(CF,T,TT)</t>
  </si>
  <si>
    <t>Full Name(First Name Last Name)</t>
  </si>
  <si>
    <t>Full Name-Track Abv</t>
  </si>
  <si>
    <t>Breder</t>
  </si>
  <si>
    <t>Kelseanne</t>
  </si>
  <si>
    <t xml:space="preserve"> </t>
  </si>
  <si>
    <t>Gonzalez</t>
  </si>
  <si>
    <t>Velda</t>
  </si>
  <si>
    <t>Meadows-Oliver</t>
  </si>
  <si>
    <t>Mikki</t>
  </si>
  <si>
    <t>Ozkara San</t>
  </si>
  <si>
    <t>Eda</t>
  </si>
  <si>
    <t>Saribel Garcia</t>
  </si>
  <si>
    <t>Schulman-Green</t>
  </si>
  <si>
    <t>Dena</t>
  </si>
  <si>
    <t>Travers</t>
  </si>
  <si>
    <t>Jasmine</t>
  </si>
  <si>
    <t>Witkoski Stimpfel</t>
  </si>
  <si>
    <t>Amy</t>
  </si>
  <si>
    <t>Zheng</t>
  </si>
  <si>
    <t>Yaguang</t>
  </si>
  <si>
    <t>Susan Altman-CF</t>
  </si>
  <si>
    <t>Babette Biesecker-CF</t>
  </si>
  <si>
    <t>Karyn Lee Boyar-CF</t>
  </si>
  <si>
    <t>Kelseanne Breder</t>
  </si>
  <si>
    <t>Kelseanne Breder-CF</t>
  </si>
  <si>
    <t>Mary Brennan-CF</t>
  </si>
  <si>
    <t>Carolynn Bruno-CF</t>
  </si>
  <si>
    <t>Theresa Bucco-CF</t>
  </si>
  <si>
    <t>Regina Cardaci-CF</t>
  </si>
  <si>
    <t>Eloise Cathcart-CF</t>
  </si>
  <si>
    <t>Leon Chen-CF</t>
  </si>
  <si>
    <t>Sally Cohen-CF</t>
  </si>
  <si>
    <t>Danielle Conklin-CF</t>
  </si>
  <si>
    <t>Tara A Cortes-CF</t>
  </si>
  <si>
    <t>Michele Crespo-Fierro-CF</t>
  </si>
  <si>
    <t>Jeff Day-CF</t>
  </si>
  <si>
    <t>Emerson Ea-CF</t>
  </si>
  <si>
    <t>Brian Fasolka-CF</t>
  </si>
  <si>
    <t>Natalie L. Garcia-CF</t>
  </si>
  <si>
    <t>Selena A Gilles-CF</t>
  </si>
  <si>
    <t>Kimberly S Glassman-CF</t>
  </si>
  <si>
    <t>Angela M Godwin-CF</t>
  </si>
  <si>
    <t>Velda Gonzalez</t>
  </si>
  <si>
    <t>Ashley Graham-Perel-CF</t>
  </si>
  <si>
    <t>Donna M Hallas-CF</t>
  </si>
  <si>
    <t>Linda Herrmann-CF</t>
  </si>
  <si>
    <t>Laurie S Jeffers-CF</t>
  </si>
  <si>
    <t>Stacen Keating-CF</t>
  </si>
  <si>
    <t>Robin Klar-CF</t>
  </si>
  <si>
    <t>Michelle M Knapp-CF</t>
  </si>
  <si>
    <t>Candice Knight-CF</t>
  </si>
  <si>
    <t>Beth Latimer-CF</t>
  </si>
  <si>
    <t>Fidelindo Lim-CF</t>
  </si>
  <si>
    <t>Donna E McCabe-CF</t>
  </si>
  <si>
    <t>Mikki Meadows-Oliver</t>
  </si>
  <si>
    <t>Mikki Meadows-Oliver-CF</t>
  </si>
  <si>
    <t>Maria A Mendoza-CF</t>
  </si>
  <si>
    <t>Gia Merlo-CF</t>
  </si>
  <si>
    <t>Melissa C Morelli-Walsh-CF</t>
  </si>
  <si>
    <t>Jennifer L Nahum-CF</t>
  </si>
  <si>
    <t>Noreen Nelson-CF</t>
  </si>
  <si>
    <t>Eda Ozkara San</t>
  </si>
  <si>
    <t>Eda Ozkara San-CF</t>
  </si>
  <si>
    <t>Chin Park-CF</t>
  </si>
  <si>
    <t>Saribel Garcia Quinones</t>
  </si>
  <si>
    <t>Saribel Garcia Quinones-CF</t>
  </si>
  <si>
    <t>Irene Rempel-CF</t>
  </si>
  <si>
    <t>Karla G Rodriguez-CF</t>
  </si>
  <si>
    <t>Dena Schulman-Green</t>
  </si>
  <si>
    <t>Nadia Sultana-CF</t>
  </si>
  <si>
    <t>Leslie-Faith M Taub-CF</t>
  </si>
  <si>
    <t>Jasmine Travers</t>
  </si>
  <si>
    <t>Mary Jo Vetter-CF</t>
  </si>
  <si>
    <t>Princess Villacarlos-Philip-CF</t>
  </si>
  <si>
    <t>Dorothy J. Wholihan-CF</t>
  </si>
  <si>
    <t>Amy Witkoski Stimpfel</t>
  </si>
  <si>
    <t>Yaguang Zheng</t>
  </si>
  <si>
    <t>Maya Clark-Cutaia-TT</t>
  </si>
  <si>
    <t>Daniel David-TT</t>
  </si>
  <si>
    <t>Velda Gonzalez-TT</t>
  </si>
  <si>
    <t>Yzette Lanier-TT</t>
  </si>
  <si>
    <t>Chenjuan Ma-TT</t>
  </si>
  <si>
    <t>Susan Malone-TT</t>
  </si>
  <si>
    <t>Margaret McCarthy-TT</t>
  </si>
  <si>
    <t>John Merriman-TT</t>
  </si>
  <si>
    <t>Ann-Margaret Navarra-TT</t>
  </si>
  <si>
    <t>S. Raquel Ramos-TT</t>
  </si>
  <si>
    <t>Tina Sadarangani-TT</t>
  </si>
  <si>
    <t>Jasmine Travers-TT</t>
  </si>
  <si>
    <t>Janet H Van Cleave-TT</t>
  </si>
  <si>
    <t>Amy Witkoski Stimpfel-TT</t>
  </si>
  <si>
    <t>Fay Wright-TT</t>
  </si>
  <si>
    <t>Yaguang Zheng-TT</t>
  </si>
  <si>
    <t>Old (v1)</t>
  </si>
  <si>
    <t>Key</t>
  </si>
  <si>
    <t>Affiliation</t>
  </si>
  <si>
    <t>Abreviations</t>
  </si>
  <si>
    <t>STOP</t>
  </si>
  <si>
    <t>FCS (ALL)</t>
  </si>
  <si>
    <t>Nominations (All)</t>
  </si>
  <si>
    <t>AP&amp;T (5-T.3-PR)</t>
  </si>
  <si>
    <t>AR&amp;P (CF.PR)</t>
  </si>
  <si>
    <t>Grievance (T-CF)</t>
  </si>
  <si>
    <t>Search (All)</t>
  </si>
  <si>
    <t>ByLaws(All)</t>
  </si>
  <si>
    <t>Curriculum (All)</t>
  </si>
  <si>
    <t>T-TT FSC(TT)</t>
  </si>
  <si>
    <t>Full-Time CCFSC (CF)</t>
  </si>
  <si>
    <t>FC on NYU's GN(All)</t>
  </si>
  <si>
    <t>NYU GPC (All)</t>
  </si>
  <si>
    <t>NYU UPC (All)</t>
  </si>
  <si>
    <t>NYU UAAC (All)</t>
  </si>
  <si>
    <t>NYU Advisory Group (All)</t>
  </si>
  <si>
    <t>Add Other items:  TrackType + Title, TrackType: Combinations, All (Inclusive), All (Exclusive  *** This is an example of All Exclusive)</t>
  </si>
  <si>
    <t/>
  </si>
  <si>
    <t>Current Members</t>
  </si>
  <si>
    <t>On Committee</t>
  </si>
  <si>
    <t>Qualified</t>
  </si>
  <si>
    <t>Position Filled</t>
  </si>
  <si>
    <t>Count (3)</t>
  </si>
  <si>
    <t>HR Status</t>
  </si>
  <si>
    <t>Counts (77)</t>
  </si>
  <si>
    <t xml:space="preserve">1 Tenure/Tenure Track/Clinical Faculty  </t>
  </si>
  <si>
    <r>
      <t xml:space="preserve">1 Tenure/Tenure Track/Clinical Faculty </t>
    </r>
    <r>
      <rPr>
        <b/>
        <sz val="11"/>
        <color theme="1"/>
        <rFont val="Calibri"/>
        <family val="2"/>
      </rPr>
      <t>Next election 2022</t>
    </r>
  </si>
  <si>
    <t xml:space="preserve">                       </t>
  </si>
  <si>
    <t>2021-22</t>
  </si>
  <si>
    <t>Tenured</t>
  </si>
  <si>
    <t>Updated on 01.21.21: Track type -- added TENURED status</t>
  </si>
  <si>
    <t>Joyce K Anastasi-T</t>
  </si>
  <si>
    <t>Abraham A. Brody-T</t>
  </si>
  <si>
    <t>Sean Clarke-T</t>
  </si>
  <si>
    <t>Judith Haber-T</t>
  </si>
  <si>
    <t>Christine T Kovner-T</t>
  </si>
  <si>
    <t>Audrey Lyndon-T</t>
  </si>
  <si>
    <t>Gail D'Eramo Melkus-T</t>
  </si>
  <si>
    <t>Dena Schulman-Green-T</t>
  </si>
  <si>
    <t>Allison P Squires-T</t>
  </si>
  <si>
    <t>Eileen M. Sullivan-Marx-T</t>
  </si>
  <si>
    <t>Nancy L Van Devanter-T</t>
  </si>
  <si>
    <t>Victoria Vaughan Dickson-T</t>
  </si>
  <si>
    <t>Bei Wu-T</t>
  </si>
  <si>
    <t>*CF</t>
  </si>
  <si>
    <t>*TT</t>
  </si>
  <si>
    <t>*T</t>
  </si>
  <si>
    <t>*Professor Rank</t>
  </si>
  <si>
    <t>*All</t>
  </si>
  <si>
    <t>(Committee Full Name) (# seats - # yr)</t>
  </si>
  <si>
    <t>Eloise Cathcart(glassk01,CF)</t>
  </si>
  <si>
    <t>Allison P Squires(ja2188,T)</t>
  </si>
  <si>
    <t>Audrey Lyndon(aab221,T)</t>
  </si>
  <si>
    <t>Bei Wu(tb107,CF)</t>
  </si>
  <si>
    <t>Yzette Lanier(yz7470,TT)</t>
  </si>
  <si>
    <t>Brian Fasolka(ec92,CF)</t>
  </si>
  <si>
    <t>Ann-Margaret Navarra(kb3897,CF)</t>
  </si>
  <si>
    <t>Daniel David(tc13,CF)</t>
  </si>
  <si>
    <t>Raquel Ramos(srp378,TT)</t>
  </si>
  <si>
    <t>Michelle Knapp(mk3461,CF)</t>
  </si>
  <si>
    <t>Joyce Anastasi(ja2188,T)</t>
  </si>
  <si>
    <t>Ab Brody(aab221,T)</t>
  </si>
  <si>
    <t>Mary Jo Vetter(jm7610,TT)</t>
  </si>
  <si>
    <t>Sally Cohen(esm8,T)</t>
  </si>
  <si>
    <t>Dorothy Wholihan(dw57,CF)</t>
  </si>
  <si>
    <t>Maya Clark-Cutaia(morelc01,CF)</t>
  </si>
  <si>
    <t>Karla Rodriguez(kgr215,CF)</t>
  </si>
  <si>
    <t>Saribel Garcia-Quinones(garcis04,CF)</t>
  </si>
  <si>
    <t>ChenJuan Ma(sc7372,T)</t>
  </si>
  <si>
    <t>Amy Stimpfel(as8078,TT)</t>
  </si>
  <si>
    <t>John Merriman(ck79,CF)</t>
  </si>
  <si>
    <t>Jennifer Nahum(jm5421,CF)</t>
  </si>
  <si>
    <t>Theresa Bucco(pvv207,CF)</t>
  </si>
  <si>
    <t>Karyn Boyar(kb66,CF)</t>
  </si>
  <si>
    <t>Maria Mendoza(mam786,CF)</t>
  </si>
  <si>
    <t>Mary Brennan(gm132,CF)</t>
  </si>
  <si>
    <t>Chen Juan Ma(sc7372,T)</t>
  </si>
  <si>
    <t>Tina Sandarangani(trs233,TT)</t>
  </si>
  <si>
    <t>Janet Van Cleave(jvc221,TT)</t>
  </si>
  <si>
    <t>Beth Latimer(rc4299,CF)</t>
  </si>
  <si>
    <t>Stacen Keating(jvc221,TT)</t>
  </si>
  <si>
    <t>Carolynn Bruno(mc7009,TT)</t>
  </si>
  <si>
    <t>Robin Klar(ds6504,T)</t>
  </si>
  <si>
    <t>Donna E McCabe(jd1824,CF)</t>
  </si>
  <si>
    <t>Selena A Gilles(sg141,TT)</t>
  </si>
  <si>
    <t>Nadia Sultan(ns56,CF)</t>
  </si>
  <si>
    <t>Full Name (First Name Last Name)</t>
  </si>
  <si>
    <t>Angela M Godwin | ag1712</t>
  </si>
  <si>
    <t>Ashley Graham-Perel | agp363</t>
  </si>
  <si>
    <t>Babette Biesecker | blc205</t>
  </si>
  <si>
    <t>Beth Latimer | bl11</t>
  </si>
  <si>
    <t>Brian Fasolka | bf53</t>
  </si>
  <si>
    <t>Candice Knight | ck79</t>
  </si>
  <si>
    <t>Carolynn Bruno | csb6</t>
  </si>
  <si>
    <t>Chin Park | cp116</t>
  </si>
  <si>
    <t>Danielle Conklin | dmc473</t>
  </si>
  <si>
    <t>Donna E McCabe | dem216</t>
  </si>
  <si>
    <t>Donna M Hallas | dh88</t>
  </si>
  <si>
    <t>Dorothy J. Wholihan | dw57</t>
  </si>
  <si>
    <t>Eda Ozkara San | eo626</t>
  </si>
  <si>
    <t>Eloise Cathcart | ec92</t>
  </si>
  <si>
    <t>Emerson Ea | eee203</t>
  </si>
  <si>
    <t>Fidelindo Lim | fl9</t>
  </si>
  <si>
    <t>Gia Merlo | gm132</t>
  </si>
  <si>
    <t>Irene Rempel | ir35</t>
  </si>
  <si>
    <t>Jeff Day | jd1824</t>
  </si>
  <si>
    <t>Jennifer L Nahum | jm5421</t>
  </si>
  <si>
    <t>Karla G Rodriguez | kgr215</t>
  </si>
  <si>
    <t>Karyn Lee Boyar | kb66</t>
  </si>
  <si>
    <t>Kelseanne Breder | kb3897</t>
  </si>
  <si>
    <t>Kimberly S Glassman | glassk01</t>
  </si>
  <si>
    <t>Laurie S Jeffers | lsj3</t>
  </si>
  <si>
    <t>Leon Chen | llc281</t>
  </si>
  <si>
    <t>Leslie-Faith M Taub | lft2</t>
  </si>
  <si>
    <t>Linda Herrmann | llh8</t>
  </si>
  <si>
    <t>Maria A Mendoza | mam786</t>
  </si>
  <si>
    <t>Mary Brennan | mb78</t>
  </si>
  <si>
    <t>Mary Jo Vetter | mjv5</t>
  </si>
  <si>
    <t>Melissa C Morelli-Walsh | morelc01</t>
  </si>
  <si>
    <t>Michele Crespo-Fierro | mc96</t>
  </si>
  <si>
    <t>Michelle M Knapp | mk3461</t>
  </si>
  <si>
    <t>Mikki Meadows-Oliver | mm11593</t>
  </si>
  <si>
    <t>Nadia Sultana | ns56</t>
  </si>
  <si>
    <t>Natalie L. Garcia | nl61</t>
  </si>
  <si>
    <t>Noreen Nelson | nn21</t>
  </si>
  <si>
    <t>Princess Villacarlos-Philip | pvv207</t>
  </si>
  <si>
    <t>Regina Cardaci | rc4299</t>
  </si>
  <si>
    <t>Robin Klar | rtk3</t>
  </si>
  <si>
    <t>Sally Cohen | sc5828</t>
  </si>
  <si>
    <t>Saribel Garcia Quinones | garcis04</t>
  </si>
  <si>
    <t>Selena A Gilles | sg141</t>
  </si>
  <si>
    <t>Stacen Keating | sk3038</t>
  </si>
  <si>
    <t>Susan Altman | altmas01</t>
  </si>
  <si>
    <t>Tara A Cortes | tc13</t>
  </si>
  <si>
    <t>Theresa Bucco | tb107</t>
  </si>
  <si>
    <t>Amy Witkoski Stimpfel | as8078</t>
  </si>
  <si>
    <t>Ann-Margaret Navarra | amd363</t>
  </si>
  <si>
    <t>Chenjuan Ma | cm4215</t>
  </si>
  <si>
    <t>Daniel David | dd119</t>
  </si>
  <si>
    <t>Fay Wright | fw1</t>
  </si>
  <si>
    <t>Janet H Van Cleave | jvc221</t>
  </si>
  <si>
    <t>Jasmine Travers | jt129</t>
  </si>
  <si>
    <t>John Merriman | jm7610</t>
  </si>
  <si>
    <t>Margaret McCarthy | mmm529</t>
  </si>
  <si>
    <t>Maya Clark-Cutaia | mc7009</t>
  </si>
  <si>
    <t>S. Raquel Ramos | srp378</t>
  </si>
  <si>
    <t>Susan Malone | sm7760</t>
  </si>
  <si>
    <t>Tina Sadarangani | trs233</t>
  </si>
  <si>
    <t>Velda Gonzalez | vg2145</t>
  </si>
  <si>
    <t>Yaguang Zheng | yz7470</t>
  </si>
  <si>
    <t>Yzette Lanier | yl69</t>
  </si>
  <si>
    <t>Abraham A. Brody | aab221</t>
  </si>
  <si>
    <t>Allison P Squires | aps6</t>
  </si>
  <si>
    <t>Audrey Lyndon | al6148</t>
  </si>
  <si>
    <t>Bei Wu | bw75</t>
  </si>
  <si>
    <t>Christine T Kovner | ctk1</t>
  </si>
  <si>
    <t>Dena Schulman-Green | ds6504</t>
  </si>
  <si>
    <t>Eileen M. Sullivan-Marx | esm8</t>
  </si>
  <si>
    <t>Gail D'Eramo Melkus | gdm3</t>
  </si>
  <si>
    <t>Joyce K Anastasi | ja2188</t>
  </si>
  <si>
    <t>Judith Haber | jh33</t>
  </si>
  <si>
    <t>Nancy L Van Devanter | nvd2</t>
  </si>
  <si>
    <t>Sean Clarke | sc7372</t>
  </si>
  <si>
    <t>Victoria Vaughan Dickson | vd30</t>
  </si>
  <si>
    <t>PR Total</t>
  </si>
  <si>
    <t>All Total</t>
  </si>
  <si>
    <t>Faculty Steering Committee  (7 seats - 2 yr)</t>
  </si>
  <si>
    <t>Yes/No Validation</t>
  </si>
  <si>
    <t>No</t>
  </si>
  <si>
    <t>Yes</t>
  </si>
  <si>
    <t>Associate/Professor Rank ???</t>
  </si>
  <si>
    <t>Professor Rank 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</si>
</sst>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 x14ac:knownFonts="1">
    <font>
      <sz val="11"/>
      <color theme="1"/>
      <name val="Arial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i/>
      <sz val="11"/>
      <color theme="1"/>
      <name val="Arial"/>
      <family val="2"/>
    </font>
    <font>
      <i/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1"/>
      <color theme="1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i/>
      <sz val="11"/>
      <color theme="1"/>
      <name val="Arial"/>
      <family val="2"/>
    </font>
    <font>
      <b/>
      <sz val="11"/>
      <color theme="1"/>
      <name val="Calibri"/>
      <family val="2"/>
    </font>
    <font>
      <b/>
      <sz val="11"/>
      <color theme="1"/>
      <name val="Arial"/>
      <family val="2"/>
    </font>
    <font>
      <sz val="12"/>
      <color rgb="FF000000"/>
      <name val="Times New Roman"/>
      <family val="1"/>
    </font>
    <font>
      <sz val="11"/>
      <name val="Calibri"/>
      <family val="2"/>
    </font>
    <font>
      <b/>
      <sz val="11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Arial"/>
      <family val="2"/>
    </font>
    <font>
      <b/>
      <sz val="11"/>
      <color theme="1"/>
      <name val="Calibri"/>
      <family val="2"/>
      <scheme val="minor"/>
    </font>
    <font>
      <sz val="11"/>
      <color rgb="FFFF0000"/>
      <name val="Arial"/>
      <family val="2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00FFFF"/>
        <bgColor rgb="FF00FFFF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FFFF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00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rgb="FFF5D8F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4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5" fillId="0" borderId="0"/>
  </cellStyleXfs>
  <cellXfs count="182">
    <xf numFmtId="0" fontId="0" fillId="0" borderId="0" xfId="0" applyFont="1" applyAlignment="1"/>
    <xf numFmtId="0" fontId="4" fillId="0" borderId="1" xfId="0" applyFont="1" applyBorder="1"/>
    <xf numFmtId="0" fontId="6" fillId="0" borderId="1" xfId="0" applyFont="1" applyBorder="1"/>
    <xf numFmtId="0" fontId="7" fillId="0" borderId="1" xfId="0" applyFont="1" applyBorder="1" applyAlignment="1"/>
    <xf numFmtId="0" fontId="7" fillId="0" borderId="1" xfId="0" applyFont="1" applyBorder="1"/>
    <xf numFmtId="0" fontId="7" fillId="2" borderId="1" xfId="0" applyFont="1" applyFill="1" applyBorder="1"/>
    <xf numFmtId="0" fontId="0" fillId="0" borderId="1" xfId="0" applyFont="1" applyBorder="1" applyAlignment="1"/>
    <xf numFmtId="0" fontId="7" fillId="3" borderId="1" xfId="0" applyFont="1" applyFill="1" applyBorder="1"/>
    <xf numFmtId="0" fontId="7" fillId="4" borderId="1" xfId="0" applyFont="1" applyFill="1" applyBorder="1"/>
    <xf numFmtId="0" fontId="8" fillId="0" borderId="1" xfId="0" applyFont="1" applyBorder="1"/>
    <xf numFmtId="0" fontId="9" fillId="0" borderId="1" xfId="0" applyFont="1" applyBorder="1" applyAlignment="1"/>
    <xf numFmtId="0" fontId="9" fillId="3" borderId="1" xfId="0" applyFont="1" applyFill="1" applyBorder="1"/>
    <xf numFmtId="0" fontId="9" fillId="3" borderId="1" xfId="0" applyFont="1" applyFill="1" applyBorder="1" applyAlignment="1"/>
    <xf numFmtId="0" fontId="3" fillId="3" borderId="1" xfId="0" applyFont="1" applyFill="1" applyBorder="1"/>
    <xf numFmtId="0" fontId="5" fillId="6" borderId="1" xfId="0" applyFont="1" applyFill="1" applyBorder="1"/>
    <xf numFmtId="0" fontId="10" fillId="0" borderId="0" xfId="0" applyFont="1" applyAlignment="1"/>
    <xf numFmtId="0" fontId="0" fillId="0" borderId="1" xfId="0" applyBorder="1" applyAlignment="1">
      <alignment vertical="top" wrapText="1"/>
    </xf>
    <xf numFmtId="0" fontId="0" fillId="9" borderId="0" xfId="0" applyFont="1" applyFill="1" applyAlignment="1"/>
    <xf numFmtId="0" fontId="0" fillId="14" borderId="1" xfId="0" applyFill="1" applyBorder="1" applyAlignment="1">
      <alignment vertical="top" wrapText="1"/>
    </xf>
    <xf numFmtId="0" fontId="12" fillId="0" borderId="1" xfId="0" applyFont="1" applyBorder="1" applyAlignment="1">
      <alignment horizontal="center" vertical="center" wrapText="1"/>
    </xf>
    <xf numFmtId="0" fontId="10" fillId="4" borderId="0" xfId="0" applyFont="1" applyFill="1" applyAlignment="1"/>
    <xf numFmtId="0" fontId="12" fillId="0" borderId="1" xfId="0" applyFont="1" applyFill="1" applyBorder="1" applyAlignment="1">
      <alignment horizontal="center" vertical="center" wrapText="1"/>
    </xf>
    <xf numFmtId="0" fontId="0" fillId="4" borderId="1" xfId="0" applyFont="1" applyFill="1" applyBorder="1" applyAlignment="1"/>
    <xf numFmtId="0" fontId="0" fillId="4" borderId="1" xfId="0" applyFill="1" applyBorder="1" applyAlignment="1">
      <alignment horizontal="center" vertical="top" wrapText="1"/>
    </xf>
    <xf numFmtId="0" fontId="0" fillId="10" borderId="1" xfId="0" applyFill="1" applyBorder="1" applyAlignment="1">
      <alignment vertical="top" wrapText="1"/>
    </xf>
    <xf numFmtId="0" fontId="0" fillId="12" borderId="1" xfId="0" applyFill="1" applyBorder="1" applyAlignment="1">
      <alignment vertical="top" wrapText="1"/>
    </xf>
    <xf numFmtId="0" fontId="0" fillId="11" borderId="1" xfId="0" applyFill="1" applyBorder="1" applyAlignment="1">
      <alignment vertical="top" wrapText="1"/>
    </xf>
    <xf numFmtId="0" fontId="13" fillId="6" borderId="1" xfId="0" applyFont="1" applyFill="1" applyBorder="1"/>
    <xf numFmtId="0" fontId="0" fillId="0" borderId="1" xfId="0" applyBorder="1" applyAlignment="1">
      <alignment vertical="center" wrapText="1"/>
    </xf>
    <xf numFmtId="0" fontId="0" fillId="0" borderId="0" xfId="0" applyBorder="1" applyAlignment="1">
      <alignment vertical="top" wrapText="1"/>
    </xf>
    <xf numFmtId="0" fontId="14" fillId="0" borderId="1" xfId="0" applyFont="1" applyBorder="1"/>
    <xf numFmtId="0" fontId="14" fillId="16" borderId="1" xfId="0" applyFont="1" applyFill="1" applyBorder="1"/>
    <xf numFmtId="0" fontId="8" fillId="16" borderId="1" xfId="0" applyFont="1" applyFill="1" applyBorder="1"/>
    <xf numFmtId="0" fontId="8" fillId="3" borderId="1" xfId="0" applyFont="1" applyFill="1" applyBorder="1"/>
    <xf numFmtId="0" fontId="9" fillId="17" borderId="1" xfId="0" applyFont="1" applyFill="1" applyBorder="1"/>
    <xf numFmtId="0" fontId="14" fillId="9" borderId="1" xfId="0" applyFont="1" applyFill="1" applyBorder="1"/>
    <xf numFmtId="0" fontId="0" fillId="9" borderId="1" xfId="0" applyFont="1" applyFill="1" applyBorder="1" applyAlignment="1"/>
    <xf numFmtId="0" fontId="5" fillId="14" borderId="1" xfId="0" applyFont="1" applyFill="1" applyBorder="1"/>
    <xf numFmtId="0" fontId="15" fillId="0" borderId="1" xfId="0" applyFont="1" applyBorder="1" applyAlignment="1"/>
    <xf numFmtId="0" fontId="0" fillId="0" borderId="1" xfId="0" applyFont="1" applyBorder="1" applyAlignment="1">
      <alignment horizontal="center"/>
    </xf>
    <xf numFmtId="0" fontId="0" fillId="0" borderId="0" xfId="0" applyFont="1" applyAlignment="1">
      <alignment wrapText="1"/>
    </xf>
    <xf numFmtId="0" fontId="7" fillId="7" borderId="1" xfId="0" applyFont="1" applyFill="1" applyBorder="1"/>
    <xf numFmtId="0" fontId="8" fillId="7" borderId="1" xfId="0" applyFont="1" applyFill="1" applyBorder="1"/>
    <xf numFmtId="0" fontId="9" fillId="7" borderId="1" xfId="0" applyFont="1" applyFill="1" applyBorder="1" applyAlignment="1"/>
    <xf numFmtId="0" fontId="7" fillId="7" borderId="1" xfId="0" applyFont="1" applyFill="1" applyBorder="1" applyAlignment="1"/>
    <xf numFmtId="0" fontId="12" fillId="4" borderId="1" xfId="0" applyFont="1" applyFill="1" applyBorder="1" applyAlignment="1">
      <alignment horizontal="center" vertical="center" wrapText="1"/>
    </xf>
    <xf numFmtId="0" fontId="0" fillId="19" borderId="1" xfId="0" applyFill="1" applyBorder="1" applyAlignment="1">
      <alignment vertical="center" wrapText="1"/>
    </xf>
    <xf numFmtId="0" fontId="0" fillId="19" borderId="1" xfId="0" applyFill="1" applyBorder="1" applyAlignment="1">
      <alignment vertical="top" wrapText="1"/>
    </xf>
    <xf numFmtId="0" fontId="0" fillId="13" borderId="1" xfId="0" applyFont="1" applyFill="1" applyBorder="1" applyAlignment="1">
      <alignment wrapText="1"/>
    </xf>
    <xf numFmtId="0" fontId="10" fillId="13" borderId="1" xfId="0" applyFont="1" applyFill="1" applyBorder="1" applyAlignment="1"/>
    <xf numFmtId="0" fontId="0" fillId="0" borderId="0" xfId="0"/>
    <xf numFmtId="0" fontId="0" fillId="5" borderId="0" xfId="0" applyFont="1" applyFill="1" applyAlignment="1"/>
    <xf numFmtId="0" fontId="7" fillId="0" borderId="0" xfId="0" applyFont="1" applyBorder="1"/>
    <xf numFmtId="0" fontId="0" fillId="4" borderId="0" xfId="0" applyFont="1" applyFill="1" applyAlignment="1"/>
    <xf numFmtId="0" fontId="4" fillId="4" borderId="1" xfId="0" applyFont="1" applyFill="1" applyBorder="1"/>
    <xf numFmtId="0" fontId="14" fillId="4" borderId="1" xfId="0" applyFont="1" applyFill="1" applyBorder="1"/>
    <xf numFmtId="0" fontId="16" fillId="4" borderId="0" xfId="0" applyFont="1" applyFill="1" applyAlignment="1"/>
    <xf numFmtId="0" fontId="17" fillId="0" borderId="1" xfId="0" applyFont="1" applyBorder="1"/>
    <xf numFmtId="0" fontId="7" fillId="19" borderId="1" xfId="0" applyFont="1" applyFill="1" applyBorder="1" applyAlignment="1"/>
    <xf numFmtId="0" fontId="7" fillId="19" borderId="1" xfId="0" applyFont="1" applyFill="1" applyBorder="1"/>
    <xf numFmtId="0" fontId="8" fillId="20" borderId="1" xfId="0" applyFont="1" applyFill="1" applyBorder="1"/>
    <xf numFmtId="0" fontId="7" fillId="20" borderId="1" xfId="0" applyFont="1" applyFill="1" applyBorder="1"/>
    <xf numFmtId="0" fontId="8" fillId="19" borderId="1" xfId="0" applyFont="1" applyFill="1" applyBorder="1"/>
    <xf numFmtId="0" fontId="19" fillId="0" borderId="1" xfId="0" applyFont="1" applyBorder="1" applyAlignment="1">
      <alignment horizontal="center" vertical="center" wrapText="1"/>
    </xf>
    <xf numFmtId="0" fontId="15" fillId="0" borderId="0" xfId="0" applyFont="1" applyAlignment="1"/>
    <xf numFmtId="0" fontId="15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left"/>
    </xf>
    <xf numFmtId="0" fontId="0" fillId="0" borderId="1" xfId="0" applyFont="1" applyBorder="1" applyAlignment="1">
      <alignment horizontal="center" vertical="center"/>
    </xf>
    <xf numFmtId="0" fontId="0" fillId="0" borderId="8" xfId="0" applyFont="1" applyBorder="1" applyAlignment="1"/>
    <xf numFmtId="0" fontId="0" fillId="9" borderId="8" xfId="0" applyFont="1" applyFill="1" applyBorder="1" applyAlignment="1"/>
    <xf numFmtId="0" fontId="0" fillId="0" borderId="8" xfId="0" applyFont="1" applyBorder="1" applyAlignment="1">
      <alignment horizontal="center"/>
    </xf>
    <xf numFmtId="0" fontId="0" fillId="0" borderId="0" xfId="0" applyFont="1" applyBorder="1" applyAlignment="1"/>
    <xf numFmtId="0" fontId="0" fillId="0" borderId="0" xfId="0" applyFont="1" applyBorder="1" applyAlignment="1">
      <alignment horizontal="center" vertical="center"/>
    </xf>
    <xf numFmtId="0" fontId="0" fillId="9" borderId="0" xfId="0" applyFont="1" applyFill="1" applyBorder="1" applyAlignment="1"/>
    <xf numFmtId="0" fontId="0" fillId="0" borderId="0" xfId="0" applyFont="1" applyBorder="1" applyAlignment="1">
      <alignment horizontal="center"/>
    </xf>
    <xf numFmtId="0" fontId="15" fillId="0" borderId="1" xfId="0" applyFont="1" applyBorder="1" applyAlignment="1">
      <alignment horizontal="left"/>
    </xf>
    <xf numFmtId="0" fontId="0" fillId="22" borderId="1" xfId="0" applyFill="1" applyBorder="1" applyAlignment="1">
      <alignment vertical="center" wrapText="1"/>
    </xf>
    <xf numFmtId="0" fontId="21" fillId="0" borderId="0" xfId="0" applyFont="1"/>
    <xf numFmtId="0" fontId="0" fillId="24" borderId="1" xfId="0" applyFill="1" applyBorder="1" applyAlignment="1">
      <alignment vertical="center" wrapText="1"/>
    </xf>
    <xf numFmtId="0" fontId="0" fillId="22" borderId="1" xfId="0" applyFont="1" applyFill="1" applyBorder="1" applyAlignment="1"/>
    <xf numFmtId="0" fontId="0" fillId="24" borderId="1" xfId="0" applyFont="1" applyFill="1" applyBorder="1" applyAlignment="1"/>
    <xf numFmtId="0" fontId="24" fillId="0" borderId="0" xfId="0" applyFont="1" applyAlignment="1"/>
    <xf numFmtId="0" fontId="25" fillId="9" borderId="0" xfId="1" applyFill="1"/>
    <xf numFmtId="0" fontId="25" fillId="5" borderId="0" xfId="1" applyFill="1"/>
    <xf numFmtId="0" fontId="25" fillId="0" borderId="1" xfId="1" applyBorder="1"/>
    <xf numFmtId="0" fontId="25" fillId="0" borderId="1" xfId="1" applyFill="1" applyBorder="1"/>
    <xf numFmtId="0" fontId="25" fillId="19" borderId="1" xfId="1" applyFill="1" applyBorder="1"/>
    <xf numFmtId="0" fontId="25" fillId="9" borderId="1" xfId="1" applyFill="1" applyBorder="1"/>
    <xf numFmtId="0" fontId="25" fillId="25" borderId="1" xfId="1" applyFill="1" applyBorder="1" applyAlignment="1">
      <alignment horizontal="center"/>
    </xf>
    <xf numFmtId="0" fontId="25" fillId="7" borderId="1" xfId="1" applyFill="1" applyBorder="1" applyAlignment="1">
      <alignment horizontal="center"/>
    </xf>
    <xf numFmtId="0" fontId="25" fillId="4" borderId="1" xfId="1" applyFill="1" applyBorder="1" applyAlignment="1">
      <alignment horizontal="center"/>
    </xf>
    <xf numFmtId="0" fontId="25" fillId="16" borderId="1" xfId="1" applyFill="1" applyBorder="1" applyAlignment="1">
      <alignment horizontal="center"/>
    </xf>
    <xf numFmtId="0" fontId="25" fillId="26" borderId="1" xfId="1" applyFill="1" applyBorder="1" applyAlignment="1">
      <alignment horizontal="center"/>
    </xf>
    <xf numFmtId="0" fontId="25" fillId="18" borderId="1" xfId="1" applyFill="1" applyBorder="1" applyAlignment="1">
      <alignment horizontal="center"/>
    </xf>
    <xf numFmtId="0" fontId="25" fillId="13" borderId="1" xfId="1" applyFill="1" applyBorder="1" applyAlignment="1">
      <alignment horizontal="center"/>
    </xf>
    <xf numFmtId="0" fontId="27" fillId="0" borderId="1" xfId="1" applyFont="1" applyBorder="1"/>
    <xf numFmtId="0" fontId="25" fillId="27" borderId="0" xfId="1" applyFill="1"/>
    <xf numFmtId="0" fontId="27" fillId="0" borderId="1" xfId="1" applyFont="1" applyBorder="1" applyAlignment="1">
      <alignment horizontal="center" vertical="center" wrapText="1"/>
    </xf>
    <xf numFmtId="0" fontId="15" fillId="9" borderId="1" xfId="1" applyFont="1" applyFill="1" applyBorder="1" applyAlignment="1"/>
    <xf numFmtId="0" fontId="15" fillId="0" borderId="1" xfId="1" applyFont="1" applyBorder="1" applyAlignment="1"/>
    <xf numFmtId="0" fontId="15" fillId="0" borderId="1" xfId="1" applyFont="1" applyBorder="1" applyAlignment="1">
      <alignment wrapText="1"/>
    </xf>
    <xf numFmtId="0" fontId="7" fillId="0" borderId="1" xfId="1" applyFont="1" applyBorder="1"/>
    <xf numFmtId="0" fontId="25" fillId="26" borderId="1" xfId="1" applyFill="1" applyBorder="1"/>
    <xf numFmtId="0" fontId="2" fillId="0" borderId="1" xfId="1" applyFont="1" applyBorder="1"/>
    <xf numFmtId="0" fontId="0" fillId="29" borderId="1" xfId="0" applyFill="1" applyBorder="1" applyAlignment="1">
      <alignment vertical="center" wrapText="1"/>
    </xf>
    <xf numFmtId="0" fontId="0" fillId="29" borderId="1" xfId="0" applyFont="1" applyFill="1" applyBorder="1" applyAlignment="1"/>
    <xf numFmtId="0" fontId="25" fillId="0" borderId="1" xfId="1" applyBorder="1" applyAlignment="1">
      <alignment horizontal="left"/>
    </xf>
    <xf numFmtId="0" fontId="26" fillId="6" borderId="1" xfId="1" applyFont="1" applyFill="1" applyBorder="1" applyAlignment="1">
      <alignment horizontal="center"/>
    </xf>
    <xf numFmtId="0" fontId="25" fillId="0" borderId="5" xfId="1" applyBorder="1" applyAlignment="1">
      <alignment horizontal="center" wrapText="1"/>
    </xf>
    <xf numFmtId="0" fontId="25" fillId="0" borderId="6" xfId="1" applyBorder="1" applyAlignment="1">
      <alignment horizontal="center" wrapText="1"/>
    </xf>
    <xf numFmtId="0" fontId="25" fillId="19" borderId="5" xfId="1" applyFill="1" applyBorder="1"/>
    <xf numFmtId="0" fontId="25" fillId="19" borderId="6" xfId="1" applyFill="1" applyBorder="1"/>
    <xf numFmtId="0" fontId="25" fillId="19" borderId="7" xfId="1" applyFill="1" applyBorder="1"/>
    <xf numFmtId="0" fontId="26" fillId="0" borderId="1" xfId="1" applyFont="1" applyBorder="1" applyAlignment="1">
      <alignment horizontal="center" vertical="center" wrapText="1"/>
    </xf>
    <xf numFmtId="0" fontId="26" fillId="0" borderId="9" xfId="1" applyFont="1" applyBorder="1" applyAlignment="1">
      <alignment horizontal="center" vertical="center" wrapText="1"/>
    </xf>
    <xf numFmtId="0" fontId="27" fillId="0" borderId="5" xfId="1" applyFont="1" applyBorder="1"/>
    <xf numFmtId="0" fontId="27" fillId="0" borderId="6" xfId="1" applyFont="1" applyBorder="1"/>
    <xf numFmtId="0" fontId="27" fillId="0" borderId="7" xfId="1" applyFont="1" applyBorder="1"/>
    <xf numFmtId="0" fontId="23" fillId="19" borderId="5" xfId="1" applyFont="1" applyFill="1" applyBorder="1" applyAlignment="1">
      <alignment wrapText="1"/>
    </xf>
    <xf numFmtId="0" fontId="23" fillId="19" borderId="6" xfId="1" applyFont="1" applyFill="1" applyBorder="1" applyAlignment="1">
      <alignment wrapText="1"/>
    </xf>
    <xf numFmtId="0" fontId="23" fillId="19" borderId="7" xfId="1" applyFont="1" applyFill="1" applyBorder="1" applyAlignment="1">
      <alignment wrapText="1"/>
    </xf>
    <xf numFmtId="0" fontId="27" fillId="19" borderId="5" xfId="1" applyFont="1" applyFill="1" applyBorder="1"/>
    <xf numFmtId="0" fontId="27" fillId="19" borderId="6" xfId="1" applyFont="1" applyFill="1" applyBorder="1"/>
    <xf numFmtId="0" fontId="27" fillId="19" borderId="7" xfId="1" applyFont="1" applyFill="1" applyBorder="1"/>
    <xf numFmtId="0" fontId="2" fillId="0" borderId="0" xfId="1" applyFont="1"/>
    <xf numFmtId="0" fontId="2" fillId="0" borderId="5" xfId="1" applyFont="1" applyBorder="1"/>
    <xf numFmtId="0" fontId="2" fillId="0" borderId="6" xfId="1" applyFont="1" applyBorder="1"/>
    <xf numFmtId="0" fontId="2" fillId="0" borderId="7" xfId="1" applyFont="1" applyBorder="1"/>
    <xf numFmtId="0" fontId="2" fillId="19" borderId="1" xfId="1" applyFont="1" applyFill="1" applyBorder="1"/>
    <xf numFmtId="0" fontId="2" fillId="0" borderId="5" xfId="1" applyFont="1" applyBorder="1" applyAlignment="1"/>
    <xf numFmtId="0" fontId="2" fillId="0" borderId="6" xfId="1" applyFont="1" applyBorder="1" applyAlignment="1"/>
    <xf numFmtId="0" fontId="2" fillId="0" borderId="7" xfId="1" applyFont="1" applyBorder="1" applyAlignment="1"/>
    <xf numFmtId="0" fontId="10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 vertical="center" wrapText="1"/>
    </xf>
    <xf numFmtId="0" fontId="0" fillId="22" borderId="1" xfId="0" applyFill="1" applyBorder="1" applyAlignment="1">
      <alignment horizontal="left" vertical="center" wrapText="1"/>
    </xf>
    <xf numFmtId="0" fontId="0" fillId="29" borderId="1" xfId="0" applyFill="1" applyBorder="1" applyAlignment="1">
      <alignment horizontal="left" vertical="center" wrapText="1"/>
    </xf>
    <xf numFmtId="0" fontId="0" fillId="24" borderId="1" xfId="0" applyFill="1" applyBorder="1" applyAlignment="1">
      <alignment horizontal="left" vertical="center" wrapText="1"/>
    </xf>
    <xf numFmtId="0" fontId="0" fillId="0" borderId="0" xfId="0" applyFont="1" applyAlignment="1">
      <alignment horizontal="left" wrapText="1"/>
    </xf>
    <xf numFmtId="0" fontId="0" fillId="0" borderId="0" xfId="0" applyAlignment="1">
      <alignment horizontal="left" wrapText="1"/>
    </xf>
    <xf numFmtId="0" fontId="0" fillId="19" borderId="0" xfId="0" applyFill="1" applyAlignment="1">
      <alignment horizontal="center" wrapText="1"/>
    </xf>
    <xf numFmtId="0" fontId="21" fillId="9" borderId="1" xfId="0" applyFont="1" applyFill="1" applyBorder="1" applyAlignment="1">
      <alignment horizontal="center" wrapText="1"/>
    </xf>
    <xf numFmtId="0" fontId="21" fillId="22" borderId="1" xfId="0" applyFont="1" applyFill="1" applyBorder="1" applyAlignment="1">
      <alignment horizontal="center" vertical="top" wrapText="1"/>
    </xf>
    <xf numFmtId="0" fontId="21" fillId="13" borderId="1" xfId="0" applyFont="1" applyFill="1" applyBorder="1" applyAlignment="1">
      <alignment horizontal="center"/>
    </xf>
    <xf numFmtId="0" fontId="21" fillId="23" borderId="1" xfId="0" applyFont="1" applyFill="1" applyBorder="1" applyAlignment="1">
      <alignment horizontal="center"/>
    </xf>
    <xf numFmtId="0" fontId="21" fillId="0" borderId="1" xfId="0" applyFont="1" applyBorder="1" applyAlignment="1">
      <alignment horizontal="center" wrapText="1"/>
    </xf>
    <xf numFmtId="0" fontId="2" fillId="13" borderId="1" xfId="1" applyFont="1" applyFill="1" applyBorder="1" applyAlignment="1">
      <alignment horizontal="center"/>
    </xf>
    <xf numFmtId="0" fontId="1" fillId="9" borderId="0" xfId="1" applyFont="1" applyFill="1" applyAlignment="1"/>
    <xf numFmtId="0" fontId="1" fillId="13" borderId="1" xfId="1" applyFont="1" applyFill="1" applyBorder="1" applyAlignment="1">
      <alignment horizontal="center"/>
    </xf>
    <xf numFmtId="0" fontId="1" fillId="9" borderId="1" xfId="1" applyFont="1" applyFill="1" applyBorder="1" applyAlignment="1"/>
    <xf numFmtId="0" fontId="1" fillId="0" borderId="1" xfId="1" applyFont="1" applyBorder="1" applyAlignment="1"/>
    <xf numFmtId="0" fontId="1" fillId="0" borderId="1" xfId="1" applyFont="1" applyBorder="1" applyAlignment="1">
      <alignment wrapText="1"/>
    </xf>
    <xf numFmtId="0" fontId="1" fillId="19" borderId="5" xfId="1" applyFont="1" applyFill="1" applyBorder="1" applyAlignment="1"/>
    <xf numFmtId="0" fontId="1" fillId="19" borderId="6" xfId="1" applyFont="1" applyFill="1" applyBorder="1" applyAlignment="1"/>
    <xf numFmtId="0" fontId="1" fillId="19" borderId="7" xfId="1" applyFont="1" applyFill="1" applyBorder="1" applyAlignment="1"/>
    <xf numFmtId="0" fontId="1" fillId="15" borderId="1" xfId="1" applyFont="1" applyFill="1" applyBorder="1" applyAlignment="1"/>
    <xf numFmtId="0" fontId="1" fillId="28" borderId="1" xfId="1" applyFont="1" applyFill="1" applyBorder="1" applyAlignment="1"/>
    <xf numFmtId="0" fontId="1" fillId="15" borderId="1" xfId="1" applyFont="1" applyFill="1" applyBorder="1" applyAlignment="1">
      <alignment wrapText="1"/>
    </xf>
    <xf numFmtId="0" fontId="2" fillId="25" borderId="1" xfId="1" applyFont="1" applyFill="1" applyBorder="1" applyAlignment="1">
      <alignment horizontal="center"/>
    </xf>
    <xf numFmtId="0" fontId="0" fillId="0" borderId="0" xfId="0" applyFont="1" applyAlignment="1">
      <alignment horizontal="center" wrapText="1"/>
    </xf>
    <xf numFmtId="0" fontId="0" fillId="0" borderId="1" xfId="0" applyFont="1" applyBorder="1" applyAlignment="1">
      <alignment horizontal="center" wrapText="1"/>
    </xf>
    <xf numFmtId="0" fontId="13" fillId="6" borderId="3" xfId="0" applyFont="1" applyFill="1" applyBorder="1" applyAlignment="1">
      <alignment horizontal="center"/>
    </xf>
    <xf numFmtId="0" fontId="13" fillId="6" borderId="4" xfId="0" applyFont="1" applyFill="1" applyBorder="1" applyAlignment="1">
      <alignment horizontal="center"/>
    </xf>
    <xf numFmtId="0" fontId="11" fillId="8" borderId="2" xfId="0" applyFont="1" applyFill="1" applyBorder="1" applyAlignment="1">
      <alignment horizontal="center" vertical="center"/>
    </xf>
    <xf numFmtId="0" fontId="11" fillId="8" borderId="0" xfId="0" applyFont="1" applyFill="1" applyBorder="1" applyAlignment="1">
      <alignment horizontal="center" vertical="center"/>
    </xf>
    <xf numFmtId="0" fontId="11" fillId="8" borderId="3" xfId="0" applyFont="1" applyFill="1" applyBorder="1" applyAlignment="1">
      <alignment horizontal="center" vertical="center"/>
    </xf>
    <xf numFmtId="0" fontId="11" fillId="8" borderId="4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left"/>
    </xf>
    <xf numFmtId="0" fontId="0" fillId="6" borderId="1" xfId="0" applyFont="1" applyFill="1" applyBorder="1" applyAlignment="1">
      <alignment horizontal="left"/>
    </xf>
    <xf numFmtId="0" fontId="15" fillId="0" borderId="0" xfId="0" applyFont="1" applyAlignment="1">
      <alignment horizontal="center"/>
    </xf>
    <xf numFmtId="0" fontId="10" fillId="12" borderId="1" xfId="0" applyFont="1" applyFill="1" applyBorder="1" applyAlignment="1">
      <alignment horizontal="center"/>
    </xf>
    <xf numFmtId="0" fontId="18" fillId="21" borderId="1" xfId="0" applyFont="1" applyFill="1" applyBorder="1" applyAlignment="1">
      <alignment horizontal="center" vertical="center"/>
    </xf>
    <xf numFmtId="0" fontId="0" fillId="14" borderId="1" xfId="0" applyFill="1" applyBorder="1" applyAlignment="1">
      <alignment horizontal="center"/>
    </xf>
    <xf numFmtId="0" fontId="20" fillId="12" borderId="1" xfId="0" applyFont="1" applyFill="1" applyBorder="1" applyAlignment="1">
      <alignment horizontal="center"/>
    </xf>
    <xf numFmtId="0" fontId="12" fillId="0" borderId="10" xfId="0" applyFont="1" applyBorder="1" applyAlignment="1">
      <alignment horizontal="center" wrapText="1"/>
    </xf>
    <xf numFmtId="0" fontId="12" fillId="0" borderId="11" xfId="0" applyFont="1" applyBorder="1" applyAlignment="1">
      <alignment horizontal="center" wrapText="1"/>
    </xf>
    <xf numFmtId="0" fontId="12" fillId="0" borderId="3" xfId="0" applyFont="1" applyBorder="1" applyAlignment="1">
      <alignment horizontal="center" wrapText="1"/>
    </xf>
    <xf numFmtId="0" fontId="12" fillId="0" borderId="12" xfId="0" applyFont="1" applyBorder="1" applyAlignment="1">
      <alignment horizontal="center" wrapText="1"/>
    </xf>
    <xf numFmtId="0" fontId="25" fillId="0" borderId="4" xfId="1" applyBorder="1" applyAlignment="1">
      <alignment horizontal="left"/>
    </xf>
    <xf numFmtId="0" fontId="25" fillId="0" borderId="4" xfId="1" applyBorder="1" applyAlignment="1">
      <alignment horizontal="center"/>
    </xf>
  </cellXfs>
  <cellStyles count="2">
    <cellStyle name="Normal" xfId="0" builtinId="0"/>
    <cellStyle name="Normal 2" xfId="1"/>
  </cellStyles>
  <dxfs count="156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714375</xdr:rowOff>
        </xdr:from>
        <xdr:to>
          <xdr:col>3</xdr:col>
          <xdr:colOff>1476375</xdr:colOff>
          <xdr:row>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HR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ristina/Library/Containers/com.microsoft.Excel/Data/Documents/Users/cristina/Library/Containers/com.microsoft.Excel/Data/Documents/C:/Users/km193/Box/Nominations%20and%20Elections/2020/ElectionsBallot20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-Tempate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H996"/>
  <sheetViews>
    <sheetView workbookViewId="0">
      <selection activeCell="H7" sqref="H7"/>
    </sheetView>
  </sheetViews>
  <sheetFormatPr defaultColWidth="12.625" defaultRowHeight="14.25" x14ac:dyDescent="0.2"/>
  <cols>
    <col min="1" max="1" width="53.375" bestFit="1" customWidth="1"/>
    <col min="2" max="2" width="16.125" bestFit="1" customWidth="1"/>
    <col min="3" max="3" width="27.125" bestFit="1" customWidth="1"/>
    <col min="4" max="4" width="23.875" bestFit="1" customWidth="1"/>
    <col min="5" max="6" width="16.125" bestFit="1" customWidth="1"/>
    <col min="7" max="7" width="18.875" bestFit="1" customWidth="1"/>
    <col min="8" max="8" width="23.875" bestFit="1" customWidth="1"/>
    <col min="9" max="9" width="9" bestFit="1" customWidth="1"/>
    <col min="10" max="20" width="7.625" customWidth="1"/>
  </cols>
  <sheetData>
    <row r="1" spans="1:8" x14ac:dyDescent="0.2">
      <c r="A1" s="27" t="s">
        <v>7</v>
      </c>
      <c r="B1" s="27"/>
      <c r="C1" s="27"/>
      <c r="E1" s="163" t="s">
        <v>7</v>
      </c>
      <c r="F1" s="164"/>
      <c r="G1" s="164"/>
      <c r="H1" s="164"/>
    </row>
    <row r="2" spans="1:8" ht="15" x14ac:dyDescent="0.25">
      <c r="A2" s="4" t="s">
        <v>12</v>
      </c>
      <c r="B2" s="2" t="s">
        <v>8</v>
      </c>
      <c r="C2" s="5"/>
      <c r="E2" s="1" t="s">
        <v>4</v>
      </c>
      <c r="F2" s="1" t="s">
        <v>5</v>
      </c>
      <c r="G2" s="1" t="s">
        <v>6</v>
      </c>
      <c r="H2" s="1" t="s">
        <v>608</v>
      </c>
    </row>
    <row r="3" spans="1:8" ht="15" x14ac:dyDescent="0.25">
      <c r="A3" s="9" t="s">
        <v>17</v>
      </c>
      <c r="B3" s="2" t="s">
        <v>13</v>
      </c>
      <c r="C3" s="5"/>
      <c r="E3" s="27"/>
      <c r="F3" s="27"/>
      <c r="G3" s="27"/>
      <c r="H3" s="27"/>
    </row>
    <row r="4" spans="1:8" ht="15" x14ac:dyDescent="0.25">
      <c r="A4" s="9" t="s">
        <v>21</v>
      </c>
      <c r="B4" s="4" t="s">
        <v>18</v>
      </c>
      <c r="C4" s="5"/>
      <c r="F4" s="41" t="s">
        <v>20</v>
      </c>
      <c r="G4" s="41" t="s">
        <v>20</v>
      </c>
    </row>
    <row r="5" spans="1:8" ht="15" x14ac:dyDescent="0.25">
      <c r="A5" s="6"/>
      <c r="B5" s="4" t="s">
        <v>18</v>
      </c>
      <c r="C5" s="8"/>
      <c r="G5" s="4" t="s">
        <v>11</v>
      </c>
    </row>
    <row r="6" spans="1:8" ht="15" x14ac:dyDescent="0.25">
      <c r="A6" s="6"/>
      <c r="B6" s="4" t="s">
        <v>25</v>
      </c>
      <c r="C6" s="9" t="s">
        <v>611</v>
      </c>
      <c r="F6" s="43" t="s">
        <v>33</v>
      </c>
      <c r="G6" s="43" t="s">
        <v>34</v>
      </c>
    </row>
    <row r="7" spans="1:8" ht="15" x14ac:dyDescent="0.25">
      <c r="A7" s="6"/>
      <c r="B7" s="4" t="s">
        <v>28</v>
      </c>
      <c r="C7" s="9" t="s">
        <v>613</v>
      </c>
      <c r="G7" s="41" t="s">
        <v>27</v>
      </c>
      <c r="H7" s="42" t="s">
        <v>611</v>
      </c>
    </row>
    <row r="8" spans="1:8" ht="15" x14ac:dyDescent="0.25">
      <c r="A8" s="6"/>
      <c r="B8" s="3" t="s">
        <v>18</v>
      </c>
      <c r="C8" s="5"/>
      <c r="G8" s="41" t="s">
        <v>31</v>
      </c>
      <c r="H8" s="42" t="s">
        <v>613</v>
      </c>
    </row>
    <row r="9" spans="1:8" ht="15.75" customHeight="1" x14ac:dyDescent="0.25">
      <c r="A9" s="27" t="s">
        <v>35</v>
      </c>
      <c r="B9" s="14"/>
      <c r="C9" s="14"/>
      <c r="E9" s="3" t="s">
        <v>32</v>
      </c>
    </row>
    <row r="10" spans="1:8" ht="15.75" customHeight="1" x14ac:dyDescent="0.25">
      <c r="A10" s="4" t="s">
        <v>39</v>
      </c>
      <c r="B10" s="2" t="s">
        <v>8</v>
      </c>
      <c r="C10" s="9" t="s">
        <v>625</v>
      </c>
      <c r="F10" s="41" t="s">
        <v>23</v>
      </c>
      <c r="G10" s="41" t="s">
        <v>23</v>
      </c>
    </row>
    <row r="11" spans="1:8" ht="15.75" customHeight="1" x14ac:dyDescent="0.25">
      <c r="A11" s="6"/>
      <c r="B11" s="4" t="s">
        <v>40</v>
      </c>
      <c r="C11" s="5"/>
      <c r="E11" s="44" t="s">
        <v>26</v>
      </c>
      <c r="F11" s="41" t="s">
        <v>10</v>
      </c>
    </row>
    <row r="12" spans="1:8" ht="15.75" customHeight="1" x14ac:dyDescent="0.25">
      <c r="A12" s="6"/>
      <c r="B12" s="4" t="s">
        <v>40</v>
      </c>
      <c r="C12" s="5"/>
      <c r="E12" s="3" t="s">
        <v>14</v>
      </c>
    </row>
    <row r="13" spans="1:8" ht="15.75" customHeight="1" x14ac:dyDescent="0.25">
      <c r="A13" s="4"/>
      <c r="B13" s="9" t="s">
        <v>40</v>
      </c>
      <c r="C13" s="5"/>
      <c r="E13" s="3" t="s">
        <v>19</v>
      </c>
    </row>
    <row r="14" spans="1:8" ht="15.75" customHeight="1" x14ac:dyDescent="0.25">
      <c r="A14" s="4"/>
      <c r="B14" s="9" t="s">
        <v>40</v>
      </c>
      <c r="C14" s="5"/>
      <c r="E14" s="41" t="s">
        <v>29</v>
      </c>
      <c r="F14" s="41" t="s">
        <v>15</v>
      </c>
    </row>
    <row r="15" spans="1:8" ht="15.75" customHeight="1" x14ac:dyDescent="0.25">
      <c r="A15" s="4" t="s">
        <v>43</v>
      </c>
      <c r="B15" s="11" t="s">
        <v>45</v>
      </c>
      <c r="C15" s="7"/>
      <c r="E15" s="3" t="s">
        <v>22</v>
      </c>
    </row>
    <row r="16" spans="1:8" ht="15.75" customHeight="1" x14ac:dyDescent="0.25">
      <c r="A16" s="27" t="s">
        <v>48</v>
      </c>
      <c r="B16" s="14"/>
      <c r="C16" s="14"/>
      <c r="E16" s="3" t="s">
        <v>9</v>
      </c>
    </row>
    <row r="17" spans="1:7" ht="15.75" customHeight="1" x14ac:dyDescent="0.25">
      <c r="A17" s="4" t="s">
        <v>51</v>
      </c>
      <c r="B17" s="3" t="s">
        <v>49</v>
      </c>
      <c r="C17" s="9" t="s">
        <v>617</v>
      </c>
      <c r="F17" s="41" t="s">
        <v>30</v>
      </c>
      <c r="G17" s="41" t="s">
        <v>16</v>
      </c>
    </row>
    <row r="18" spans="1:7" ht="15.75" customHeight="1" x14ac:dyDescent="0.25">
      <c r="A18" s="4" t="s">
        <v>54</v>
      </c>
      <c r="B18" s="4" t="s">
        <v>52</v>
      </c>
      <c r="C18" s="9" t="s">
        <v>610</v>
      </c>
    </row>
    <row r="19" spans="1:7" ht="15.75" customHeight="1" x14ac:dyDescent="0.25">
      <c r="A19" s="6"/>
      <c r="B19" s="4" t="s">
        <v>52</v>
      </c>
      <c r="C19" s="9" t="s">
        <v>612</v>
      </c>
    </row>
    <row r="20" spans="1:7" ht="15.75" customHeight="1" x14ac:dyDescent="0.25">
      <c r="A20" s="6"/>
      <c r="B20" s="4" t="s">
        <v>55</v>
      </c>
      <c r="C20" s="5"/>
    </row>
    <row r="21" spans="1:7" ht="15.75" customHeight="1" x14ac:dyDescent="0.25">
      <c r="A21" s="6"/>
      <c r="B21" s="4" t="s">
        <v>18</v>
      </c>
      <c r="C21" s="5"/>
    </row>
    <row r="22" spans="1:7" ht="15" x14ac:dyDescent="0.25">
      <c r="A22" s="30" t="s">
        <v>0</v>
      </c>
      <c r="B22" s="30" t="s">
        <v>1</v>
      </c>
      <c r="C22" s="35"/>
    </row>
    <row r="23" spans="1:7" ht="15" x14ac:dyDescent="0.25">
      <c r="A23" s="1" t="s">
        <v>2</v>
      </c>
      <c r="B23" s="1" t="s">
        <v>3</v>
      </c>
      <c r="C23" s="30" t="s">
        <v>608</v>
      </c>
    </row>
    <row r="24" spans="1:7" x14ac:dyDescent="0.2">
      <c r="A24" s="14" t="s">
        <v>56</v>
      </c>
      <c r="B24" s="14"/>
      <c r="C24" s="14"/>
    </row>
    <row r="25" spans="1:7" ht="15" x14ac:dyDescent="0.25">
      <c r="A25" s="4" t="s">
        <v>60</v>
      </c>
      <c r="B25" s="3" t="s">
        <v>57</v>
      </c>
      <c r="C25" s="5"/>
    </row>
    <row r="26" spans="1:7" ht="15" x14ac:dyDescent="0.25">
      <c r="A26" s="6"/>
      <c r="B26" s="4" t="s">
        <v>40</v>
      </c>
      <c r="C26" s="5"/>
    </row>
    <row r="27" spans="1:7" ht="15.75" customHeight="1" x14ac:dyDescent="0.25">
      <c r="A27" s="6"/>
      <c r="B27" s="4" t="s">
        <v>40</v>
      </c>
      <c r="C27" s="5"/>
    </row>
    <row r="28" spans="1:7" ht="15.75" customHeight="1" x14ac:dyDescent="0.25">
      <c r="A28" s="6"/>
      <c r="B28" s="4" t="s">
        <v>40</v>
      </c>
      <c r="C28" s="9" t="s">
        <v>618</v>
      </c>
    </row>
    <row r="29" spans="1:7" ht="15.75" customHeight="1" x14ac:dyDescent="0.25">
      <c r="A29" s="6"/>
      <c r="B29" s="4" t="s">
        <v>40</v>
      </c>
      <c r="C29" s="9" t="s">
        <v>626</v>
      </c>
    </row>
    <row r="30" spans="1:7" ht="15.75" customHeight="1" x14ac:dyDescent="0.2">
      <c r="A30" s="14" t="s">
        <v>66</v>
      </c>
      <c r="B30" s="14"/>
      <c r="C30" s="14"/>
    </row>
    <row r="31" spans="1:7" ht="15.75" customHeight="1" x14ac:dyDescent="0.25">
      <c r="A31" s="4" t="s">
        <v>12</v>
      </c>
      <c r="B31" s="4" t="s">
        <v>18</v>
      </c>
      <c r="C31" s="5"/>
    </row>
    <row r="32" spans="1:7" ht="15.75" customHeight="1" x14ac:dyDescent="0.25">
      <c r="A32" s="4" t="s">
        <v>67</v>
      </c>
      <c r="B32" s="4" t="s">
        <v>18</v>
      </c>
      <c r="C32" s="9" t="s">
        <v>609</v>
      </c>
    </row>
    <row r="33" spans="1:3" ht="15.75" customHeight="1" x14ac:dyDescent="0.25">
      <c r="A33" s="6"/>
      <c r="B33" s="4" t="s">
        <v>18</v>
      </c>
      <c r="C33" s="9" t="s">
        <v>627</v>
      </c>
    </row>
    <row r="34" spans="1:3" ht="15.75" customHeight="1" x14ac:dyDescent="0.25">
      <c r="A34" s="6"/>
      <c r="B34" s="4" t="s">
        <v>28</v>
      </c>
      <c r="C34" s="5"/>
    </row>
    <row r="35" spans="1:3" ht="15.75" customHeight="1" x14ac:dyDescent="0.25">
      <c r="A35" s="6"/>
      <c r="B35" s="4" t="s">
        <v>28</v>
      </c>
      <c r="C35" s="9" t="s">
        <v>626</v>
      </c>
    </row>
    <row r="36" spans="1:3" ht="15.75" customHeight="1" x14ac:dyDescent="0.2">
      <c r="A36" s="14" t="s">
        <v>70</v>
      </c>
      <c r="B36" s="14"/>
      <c r="C36" s="14"/>
    </row>
    <row r="37" spans="1:3" ht="15.75" customHeight="1" x14ac:dyDescent="0.25">
      <c r="A37" s="4" t="s">
        <v>72</v>
      </c>
      <c r="B37" s="3" t="s">
        <v>57</v>
      </c>
      <c r="C37" s="5"/>
    </row>
    <row r="38" spans="1:3" ht="15.75" customHeight="1" x14ac:dyDescent="0.25">
      <c r="A38" s="6"/>
      <c r="B38" s="3" t="s">
        <v>73</v>
      </c>
      <c r="C38" s="5"/>
    </row>
    <row r="39" spans="1:3" ht="15.75" customHeight="1" x14ac:dyDescent="0.25">
      <c r="A39" s="6"/>
      <c r="B39" s="4" t="s">
        <v>40</v>
      </c>
      <c r="C39" s="5"/>
    </row>
    <row r="40" spans="1:3" ht="15.75" customHeight="1" x14ac:dyDescent="0.25">
      <c r="A40" s="6"/>
      <c r="B40" s="4" t="s">
        <v>40</v>
      </c>
      <c r="C40" s="5"/>
    </row>
    <row r="41" spans="1:3" ht="15.75" customHeight="1" x14ac:dyDescent="0.25">
      <c r="A41" s="6"/>
      <c r="B41" s="4" t="s">
        <v>40</v>
      </c>
      <c r="C41" s="9" t="s">
        <v>620</v>
      </c>
    </row>
    <row r="42" spans="1:3" ht="15.75" customHeight="1" x14ac:dyDescent="0.25">
      <c r="A42" s="6"/>
      <c r="B42" s="4" t="s">
        <v>40</v>
      </c>
      <c r="C42" s="9" t="s">
        <v>613</v>
      </c>
    </row>
    <row r="43" spans="1:3" ht="15.75" customHeight="1" x14ac:dyDescent="0.25">
      <c r="A43" s="6"/>
      <c r="B43" s="4" t="s">
        <v>40</v>
      </c>
      <c r="C43" s="9" t="s">
        <v>621</v>
      </c>
    </row>
    <row r="44" spans="1:3" ht="15.75" customHeight="1" x14ac:dyDescent="0.25">
      <c r="A44" s="6"/>
      <c r="B44" s="4" t="s">
        <v>40</v>
      </c>
      <c r="C44" s="9" t="s">
        <v>616</v>
      </c>
    </row>
    <row r="45" spans="1:3" ht="15.75" customHeight="1" x14ac:dyDescent="0.25">
      <c r="A45" s="4" t="s">
        <v>74</v>
      </c>
      <c r="B45" s="11" t="s">
        <v>78</v>
      </c>
      <c r="C45" s="7"/>
    </row>
    <row r="46" spans="1:3" ht="15.75" customHeight="1" x14ac:dyDescent="0.25">
      <c r="A46" s="6"/>
      <c r="B46" s="11" t="s">
        <v>78</v>
      </c>
      <c r="C46" s="7"/>
    </row>
    <row r="47" spans="1:3" ht="15.75" customHeight="1" x14ac:dyDescent="0.25">
      <c r="A47" s="6"/>
      <c r="B47" s="11" t="s">
        <v>78</v>
      </c>
      <c r="C47" s="11" t="s">
        <v>623</v>
      </c>
    </row>
    <row r="48" spans="1:3" ht="15.75" customHeight="1" x14ac:dyDescent="0.2">
      <c r="A48" s="14" t="s">
        <v>80</v>
      </c>
      <c r="B48" s="14"/>
      <c r="C48" s="14"/>
    </row>
    <row r="49" spans="1:3" ht="15.75" customHeight="1" x14ac:dyDescent="0.25">
      <c r="A49" s="4" t="s">
        <v>39</v>
      </c>
      <c r="B49" s="4" t="s">
        <v>40</v>
      </c>
      <c r="C49" s="5"/>
    </row>
    <row r="50" spans="1:3" ht="15.75" customHeight="1" x14ac:dyDescent="0.25">
      <c r="A50" s="6"/>
      <c r="B50" s="4" t="s">
        <v>40</v>
      </c>
      <c r="C50" s="5"/>
    </row>
    <row r="51" spans="1:3" ht="15.75" customHeight="1" x14ac:dyDescent="0.25">
      <c r="A51" s="6"/>
      <c r="B51" s="4" t="s">
        <v>40</v>
      </c>
      <c r="C51" s="9" t="s">
        <v>614</v>
      </c>
    </row>
    <row r="52" spans="1:3" ht="15.75" customHeight="1" x14ac:dyDescent="0.25">
      <c r="A52" s="4" t="s">
        <v>43</v>
      </c>
      <c r="B52" s="11" t="s">
        <v>78</v>
      </c>
      <c r="C52" s="7"/>
    </row>
    <row r="53" spans="1:3" ht="15.75" customHeight="1" x14ac:dyDescent="0.2">
      <c r="A53" s="14" t="s">
        <v>84</v>
      </c>
      <c r="B53" s="14"/>
      <c r="C53" s="14"/>
    </row>
    <row r="54" spans="1:3" ht="15.75" customHeight="1" x14ac:dyDescent="0.25">
      <c r="A54" s="4" t="s">
        <v>86</v>
      </c>
      <c r="B54" s="3" t="s">
        <v>57</v>
      </c>
      <c r="C54" s="5"/>
    </row>
    <row r="55" spans="1:3" ht="15.75" customHeight="1" x14ac:dyDescent="0.25">
      <c r="B55" s="4" t="s">
        <v>40</v>
      </c>
      <c r="C55" s="5"/>
    </row>
    <row r="56" spans="1:3" ht="15.75" customHeight="1" x14ac:dyDescent="0.25">
      <c r="A56" s="6"/>
      <c r="B56" s="4" t="s">
        <v>40</v>
      </c>
      <c r="C56" s="5"/>
    </row>
    <row r="57" spans="1:3" ht="15.75" customHeight="1" x14ac:dyDescent="0.25">
      <c r="A57" s="6"/>
      <c r="B57" s="4" t="s">
        <v>40</v>
      </c>
      <c r="C57" s="5"/>
    </row>
    <row r="58" spans="1:3" ht="15.75" customHeight="1" x14ac:dyDescent="0.25">
      <c r="A58" s="6"/>
      <c r="B58" s="4" t="s">
        <v>40</v>
      </c>
      <c r="C58" s="5"/>
    </row>
    <row r="59" spans="1:3" ht="15.75" customHeight="1" x14ac:dyDescent="0.25">
      <c r="A59" s="6"/>
      <c r="B59" s="4" t="s">
        <v>40</v>
      </c>
      <c r="C59" s="5"/>
    </row>
    <row r="60" spans="1:3" ht="15.75" customHeight="1" x14ac:dyDescent="0.25">
      <c r="A60" s="6"/>
      <c r="B60" s="4" t="s">
        <v>40</v>
      </c>
      <c r="C60" s="9" t="s">
        <v>624</v>
      </c>
    </row>
    <row r="61" spans="1:3" ht="15.75" customHeight="1" x14ac:dyDescent="0.25">
      <c r="A61" s="6"/>
      <c r="B61" s="4" t="s">
        <v>40</v>
      </c>
      <c r="C61" s="9" t="s">
        <v>619</v>
      </c>
    </row>
    <row r="62" spans="1:3" ht="15.75" customHeight="1" x14ac:dyDescent="0.25">
      <c r="A62" s="6"/>
      <c r="B62" s="4" t="s">
        <v>40</v>
      </c>
      <c r="C62" s="8"/>
    </row>
    <row r="63" spans="1:3" ht="15.75" customHeight="1" x14ac:dyDescent="0.25">
      <c r="A63" s="6"/>
      <c r="B63" s="4" t="s">
        <v>40</v>
      </c>
      <c r="C63" s="9" t="s">
        <v>615</v>
      </c>
    </row>
    <row r="64" spans="1:3" ht="15.75" customHeight="1" x14ac:dyDescent="0.25">
      <c r="A64" s="6"/>
      <c r="B64" s="4" t="s">
        <v>40</v>
      </c>
      <c r="C64" s="9" t="s">
        <v>622</v>
      </c>
    </row>
    <row r="65" spans="1:3" ht="15.75" customHeight="1" x14ac:dyDescent="0.25">
      <c r="A65" s="4" t="s">
        <v>87</v>
      </c>
      <c r="B65" s="11" t="s">
        <v>78</v>
      </c>
      <c r="C65" s="11"/>
    </row>
    <row r="66" spans="1:3" ht="15.75" customHeight="1" x14ac:dyDescent="0.2">
      <c r="A66" s="37" t="s">
        <v>94</v>
      </c>
      <c r="B66" s="36"/>
      <c r="C66" s="36"/>
    </row>
    <row r="67" spans="1:3" ht="15.75" customHeight="1" x14ac:dyDescent="0.2">
      <c r="A67" s="14" t="s">
        <v>95</v>
      </c>
      <c r="B67" s="14"/>
      <c r="C67" s="14"/>
    </row>
    <row r="68" spans="1:3" ht="15.75" customHeight="1" x14ac:dyDescent="0.25">
      <c r="A68" s="4" t="s">
        <v>17</v>
      </c>
      <c r="B68" s="4" t="s">
        <v>40</v>
      </c>
      <c r="C68" s="8"/>
    </row>
    <row r="69" spans="1:3" ht="15.75" customHeight="1" x14ac:dyDescent="0.25">
      <c r="A69" s="4" t="s">
        <v>97</v>
      </c>
      <c r="B69" s="4" t="s">
        <v>96</v>
      </c>
      <c r="C69" s="9" t="s">
        <v>611</v>
      </c>
    </row>
    <row r="70" spans="1:3" ht="15.75" customHeight="1" x14ac:dyDescent="0.25">
      <c r="A70" s="6"/>
      <c r="B70" s="4" t="s">
        <v>98</v>
      </c>
      <c r="C70" s="9" t="s">
        <v>609</v>
      </c>
    </row>
    <row r="71" spans="1:3" ht="15.75" customHeight="1" x14ac:dyDescent="0.2">
      <c r="A71" s="14" t="s">
        <v>99</v>
      </c>
      <c r="B71" s="14"/>
      <c r="C71" s="14"/>
    </row>
    <row r="72" spans="1:3" ht="15.75" customHeight="1" x14ac:dyDescent="0.25">
      <c r="A72" s="4" t="s">
        <v>100</v>
      </c>
      <c r="B72" s="4" t="s">
        <v>40</v>
      </c>
      <c r="C72" s="5"/>
    </row>
    <row r="73" spans="1:3" ht="15.75" customHeight="1" x14ac:dyDescent="0.25">
      <c r="A73" s="4" t="s">
        <v>101</v>
      </c>
      <c r="B73" s="4" t="s">
        <v>96</v>
      </c>
      <c r="C73" s="5"/>
    </row>
    <row r="74" spans="1:3" ht="15.75" customHeight="1" x14ac:dyDescent="0.25">
      <c r="A74" s="6"/>
      <c r="B74" s="4" t="s">
        <v>98</v>
      </c>
      <c r="C74" s="5"/>
    </row>
    <row r="75" spans="1:3" ht="15.75" customHeight="1" x14ac:dyDescent="0.2">
      <c r="A75" s="14" t="s">
        <v>102</v>
      </c>
      <c r="B75" s="14"/>
      <c r="C75" s="14"/>
    </row>
    <row r="76" spans="1:3" ht="15.75" customHeight="1" x14ac:dyDescent="0.25">
      <c r="A76" s="9" t="s">
        <v>629</v>
      </c>
      <c r="B76" s="4" t="s">
        <v>40</v>
      </c>
      <c r="C76" s="9" t="s">
        <v>620</v>
      </c>
    </row>
    <row r="77" spans="1:3" ht="15.75" customHeight="1" x14ac:dyDescent="0.2">
      <c r="A77" s="14" t="s">
        <v>103</v>
      </c>
      <c r="B77" s="14"/>
      <c r="C77" s="14"/>
    </row>
    <row r="78" spans="1:3" ht="15.75" customHeight="1" x14ac:dyDescent="0.25">
      <c r="A78" s="9" t="s">
        <v>629</v>
      </c>
      <c r="B78" s="4" t="s">
        <v>40</v>
      </c>
      <c r="C78" s="5"/>
    </row>
    <row r="79" spans="1:3" ht="15.75" customHeight="1" x14ac:dyDescent="0.2">
      <c r="A79" s="14" t="s">
        <v>104</v>
      </c>
      <c r="B79" s="14"/>
      <c r="C79" s="14"/>
    </row>
    <row r="80" spans="1:3" ht="15.75" customHeight="1" x14ac:dyDescent="0.25">
      <c r="A80" s="9" t="s">
        <v>629</v>
      </c>
      <c r="B80" s="4" t="s">
        <v>40</v>
      </c>
      <c r="C80" s="9" t="s">
        <v>613</v>
      </c>
    </row>
    <row r="81" spans="1:3" ht="15.75" customHeight="1" x14ac:dyDescent="0.2">
      <c r="A81" s="14" t="s">
        <v>105</v>
      </c>
      <c r="B81" s="14"/>
      <c r="C81" s="14"/>
    </row>
    <row r="82" spans="1:3" ht="15.75" customHeight="1" x14ac:dyDescent="0.25">
      <c r="A82" s="9" t="s">
        <v>629</v>
      </c>
      <c r="B82" s="4" t="s">
        <v>40</v>
      </c>
      <c r="C82" s="9" t="s">
        <v>624</v>
      </c>
    </row>
    <row r="83" spans="1:3" ht="15.75" customHeight="1" x14ac:dyDescent="0.2">
      <c r="A83" s="14" t="s">
        <v>106</v>
      </c>
      <c r="B83" s="14"/>
      <c r="C83" s="14"/>
    </row>
    <row r="84" spans="1:3" ht="15.75" customHeight="1" x14ac:dyDescent="0.25">
      <c r="A84" s="9" t="s">
        <v>629</v>
      </c>
      <c r="B84" s="4" t="s">
        <v>40</v>
      </c>
      <c r="C84" s="8"/>
    </row>
    <row r="85" spans="1:3" ht="15.75" customHeight="1" x14ac:dyDescent="0.2"/>
    <row r="86" spans="1:3" ht="15.75" customHeight="1" x14ac:dyDescent="0.2"/>
    <row r="87" spans="1:3" ht="15.75" customHeight="1" x14ac:dyDescent="0.2"/>
    <row r="88" spans="1:3" ht="15.75" customHeight="1" x14ac:dyDescent="0.2"/>
    <row r="89" spans="1:3" ht="15.75" customHeight="1" x14ac:dyDescent="0.2"/>
    <row r="90" spans="1:3" ht="15.75" customHeight="1" x14ac:dyDescent="0.2"/>
    <row r="91" spans="1:3" ht="15.75" customHeight="1" x14ac:dyDescent="0.2"/>
    <row r="92" spans="1:3" ht="15.75" customHeight="1" x14ac:dyDescent="0.2"/>
    <row r="93" spans="1:3" ht="15.75" customHeight="1" x14ac:dyDescent="0.2"/>
    <row r="94" spans="1:3" ht="15.75" customHeight="1" x14ac:dyDescent="0.2"/>
    <row r="95" spans="1:3" ht="15.75" customHeight="1" x14ac:dyDescent="0.2"/>
    <row r="96" spans="1:3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</sheetData>
  <mergeCells count="1">
    <mergeCell ref="E1:H1"/>
  </mergeCells>
  <pageMargins left="0.7" right="0.7" top="0.75" bottom="0.75" header="0.3" footer="0.3"/>
  <pageSetup scale="42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93"/>
  <sheetViews>
    <sheetView topLeftCell="B28" zoomScaleNormal="100" workbookViewId="0">
      <selection activeCell="D64" sqref="D64"/>
    </sheetView>
  </sheetViews>
  <sheetFormatPr defaultColWidth="4.375" defaultRowHeight="14.25" x14ac:dyDescent="0.2"/>
  <cols>
    <col min="1" max="1" width="11.5" bestFit="1" customWidth="1"/>
    <col min="2" max="2" width="23.625" bestFit="1" customWidth="1"/>
    <col min="3" max="3" width="22.5" bestFit="1" customWidth="1"/>
    <col min="4" max="4" width="55" bestFit="1" customWidth="1"/>
    <col min="5" max="5" width="13.625" bestFit="1" customWidth="1"/>
    <col min="6" max="6" width="17.125" bestFit="1" customWidth="1"/>
    <col min="7" max="7" width="18.375" bestFit="1" customWidth="1"/>
    <col min="8" max="8" width="6.875" bestFit="1" customWidth="1"/>
    <col min="9" max="9" width="24.625" bestFit="1" customWidth="1"/>
    <col min="10" max="10" width="13.375" bestFit="1" customWidth="1"/>
    <col min="11" max="11" width="24.875" bestFit="1" customWidth="1"/>
    <col min="12" max="12" width="29.875" bestFit="1" customWidth="1"/>
  </cols>
  <sheetData>
    <row r="1" spans="1:12" x14ac:dyDescent="0.2">
      <c r="A1" t="s">
        <v>805</v>
      </c>
      <c r="J1" s="15"/>
    </row>
    <row r="2" spans="1:12" x14ac:dyDescent="0.2">
      <c r="A2" t="s">
        <v>806</v>
      </c>
      <c r="I2" s="49" t="s">
        <v>639</v>
      </c>
      <c r="J2" s="48" t="s">
        <v>640</v>
      </c>
    </row>
    <row r="3" spans="1:12" x14ac:dyDescent="0.2">
      <c r="I3" s="24" t="s">
        <v>320</v>
      </c>
      <c r="J3" s="22">
        <v>48</v>
      </c>
    </row>
    <row r="4" spans="1:12" x14ac:dyDescent="0.2">
      <c r="I4" s="26" t="s">
        <v>253</v>
      </c>
      <c r="J4" s="22">
        <v>15</v>
      </c>
    </row>
    <row r="5" spans="1:12" x14ac:dyDescent="0.2">
      <c r="C5" s="165" t="s">
        <v>636</v>
      </c>
      <c r="D5" s="166"/>
      <c r="E5" s="166"/>
      <c r="F5" s="166"/>
      <c r="G5" s="166"/>
      <c r="I5" s="25" t="s">
        <v>321</v>
      </c>
      <c r="J5" s="22">
        <v>14</v>
      </c>
    </row>
    <row r="6" spans="1:12" x14ac:dyDescent="0.2">
      <c r="C6" s="167"/>
      <c r="D6" s="168"/>
      <c r="E6" s="168"/>
      <c r="F6" s="168"/>
      <c r="G6" s="168"/>
      <c r="I6" s="17"/>
      <c r="J6" s="17"/>
    </row>
    <row r="7" spans="1:12" x14ac:dyDescent="0.2">
      <c r="A7" t="s">
        <v>326</v>
      </c>
      <c r="B7" s="21" t="s">
        <v>108</v>
      </c>
      <c r="C7" s="19" t="s">
        <v>110</v>
      </c>
      <c r="D7" s="19" t="s">
        <v>109</v>
      </c>
      <c r="E7" s="19" t="s">
        <v>111</v>
      </c>
      <c r="F7" s="19" t="s">
        <v>112</v>
      </c>
      <c r="G7" s="19" t="s">
        <v>322</v>
      </c>
      <c r="H7" s="21" t="s">
        <v>253</v>
      </c>
      <c r="I7" s="45" t="s">
        <v>255</v>
      </c>
      <c r="J7" s="21" t="s">
        <v>256</v>
      </c>
      <c r="K7" s="21" t="s">
        <v>638</v>
      </c>
      <c r="L7" s="21" t="s">
        <v>530</v>
      </c>
    </row>
    <row r="8" spans="1:12" x14ac:dyDescent="0.2">
      <c r="A8" t="s">
        <v>805</v>
      </c>
      <c r="B8" s="47" t="s">
        <v>553</v>
      </c>
      <c r="C8" s="16" t="s">
        <v>164</v>
      </c>
      <c r="D8" s="28" t="s">
        <v>114</v>
      </c>
      <c r="E8" s="16" t="s">
        <v>115</v>
      </c>
      <c r="F8" s="16" t="s">
        <v>166</v>
      </c>
      <c r="G8" s="16" t="s">
        <v>367</v>
      </c>
      <c r="H8" s="23" t="s">
        <v>320</v>
      </c>
      <c r="I8" s="18" t="s">
        <v>278</v>
      </c>
      <c r="J8" s="18" t="s">
        <v>480</v>
      </c>
      <c r="K8" s="18" t="s">
        <v>739</v>
      </c>
      <c r="L8" s="18" t="s">
        <v>680</v>
      </c>
    </row>
    <row r="9" spans="1:12" x14ac:dyDescent="0.2">
      <c r="A9" t="s">
        <v>805</v>
      </c>
      <c r="B9" s="47" t="s">
        <v>555</v>
      </c>
      <c r="C9" s="16" t="s">
        <v>368</v>
      </c>
      <c r="D9" s="28" t="s">
        <v>165</v>
      </c>
      <c r="E9" s="16" t="s">
        <v>115</v>
      </c>
      <c r="F9" s="16" t="s">
        <v>369</v>
      </c>
      <c r="G9" s="16" t="s">
        <v>370</v>
      </c>
      <c r="H9" s="23" t="s">
        <v>320</v>
      </c>
      <c r="I9" s="18" t="s">
        <v>445</v>
      </c>
      <c r="J9" s="18" t="s">
        <v>481</v>
      </c>
      <c r="K9" s="18" t="s">
        <v>741</v>
      </c>
      <c r="L9" s="18" t="s">
        <v>756</v>
      </c>
    </row>
    <row r="10" spans="1:12" x14ac:dyDescent="0.2">
      <c r="A10" t="s">
        <v>805</v>
      </c>
      <c r="B10" s="47" t="s">
        <v>85</v>
      </c>
      <c r="C10" s="16" t="s">
        <v>120</v>
      </c>
      <c r="D10" s="28" t="s">
        <v>114</v>
      </c>
      <c r="E10" s="16" t="s">
        <v>115</v>
      </c>
      <c r="F10" s="16" t="s">
        <v>121</v>
      </c>
      <c r="G10" s="16" t="s">
        <v>330</v>
      </c>
      <c r="H10" s="23" t="s">
        <v>320</v>
      </c>
      <c r="I10" s="18" t="s">
        <v>259</v>
      </c>
      <c r="J10" s="18" t="s">
        <v>455</v>
      </c>
      <c r="K10" s="18" t="s">
        <v>701</v>
      </c>
      <c r="L10" s="18" t="s">
        <v>682</v>
      </c>
    </row>
    <row r="11" spans="1:12" x14ac:dyDescent="0.2">
      <c r="A11" t="s">
        <v>805</v>
      </c>
      <c r="B11" s="47" t="s">
        <v>557</v>
      </c>
      <c r="C11" s="16" t="s">
        <v>189</v>
      </c>
      <c r="D11" s="28" t="s">
        <v>114</v>
      </c>
      <c r="E11" s="16" t="s">
        <v>115</v>
      </c>
      <c r="F11" s="16" t="s">
        <v>190</v>
      </c>
      <c r="G11" s="16" t="s">
        <v>381</v>
      </c>
      <c r="H11" s="23" t="s">
        <v>320</v>
      </c>
      <c r="I11" s="18" t="s">
        <v>289</v>
      </c>
      <c r="J11" s="18" t="s">
        <v>492</v>
      </c>
      <c r="K11" s="18" t="s">
        <v>757</v>
      </c>
      <c r="L11" s="18" t="s">
        <v>684</v>
      </c>
    </row>
    <row r="12" spans="1:12" x14ac:dyDescent="0.2">
      <c r="A12" t="s">
        <v>805</v>
      </c>
      <c r="B12" s="47" t="s">
        <v>558</v>
      </c>
      <c r="C12" s="16" t="s">
        <v>159</v>
      </c>
      <c r="D12" s="28" t="s">
        <v>114</v>
      </c>
      <c r="E12" s="16" t="s">
        <v>115</v>
      </c>
      <c r="F12" s="16" t="s">
        <v>160</v>
      </c>
      <c r="G12" s="16" t="s">
        <v>359</v>
      </c>
      <c r="H12" s="23" t="s">
        <v>320</v>
      </c>
      <c r="I12" s="18" t="s">
        <v>276</v>
      </c>
      <c r="J12" s="18" t="s">
        <v>476</v>
      </c>
      <c r="K12" s="18" t="s">
        <v>731</v>
      </c>
      <c r="L12" s="18" t="s">
        <v>686</v>
      </c>
    </row>
    <row r="13" spans="1:12" x14ac:dyDescent="0.2">
      <c r="A13" t="s">
        <v>805</v>
      </c>
      <c r="B13" s="47" t="s">
        <v>559</v>
      </c>
      <c r="C13" s="16" t="s">
        <v>182</v>
      </c>
      <c r="D13" s="28" t="s">
        <v>125</v>
      </c>
      <c r="E13" s="16" t="s">
        <v>115</v>
      </c>
      <c r="F13" s="16" t="s">
        <v>183</v>
      </c>
      <c r="G13" s="16" t="s">
        <v>378</v>
      </c>
      <c r="H13" s="23" t="s">
        <v>320</v>
      </c>
      <c r="I13" s="18" t="s">
        <v>286</v>
      </c>
      <c r="J13" s="18" t="s">
        <v>489</v>
      </c>
      <c r="K13" s="18" t="s">
        <v>755</v>
      </c>
      <c r="L13" s="18" t="s">
        <v>738</v>
      </c>
    </row>
    <row r="14" spans="1:12" x14ac:dyDescent="0.2">
      <c r="A14" t="s">
        <v>805</v>
      </c>
      <c r="B14" s="47" t="s">
        <v>561</v>
      </c>
      <c r="C14" s="16" t="s">
        <v>130</v>
      </c>
      <c r="D14" s="28" t="s">
        <v>114</v>
      </c>
      <c r="E14" s="16" t="s">
        <v>115</v>
      </c>
      <c r="F14" s="16" t="s">
        <v>131</v>
      </c>
      <c r="G14" s="16" t="s">
        <v>334</v>
      </c>
      <c r="H14" s="23" t="s">
        <v>320</v>
      </c>
      <c r="I14" s="18" t="s">
        <v>263</v>
      </c>
      <c r="J14" s="18" t="s">
        <v>459</v>
      </c>
      <c r="K14" s="18" t="s">
        <v>707</v>
      </c>
      <c r="L14" s="18" t="s">
        <v>688</v>
      </c>
    </row>
    <row r="15" spans="1:12" x14ac:dyDescent="0.2">
      <c r="A15" t="s">
        <v>805</v>
      </c>
      <c r="B15" s="47" t="s">
        <v>563</v>
      </c>
      <c r="C15" s="16" t="s">
        <v>214</v>
      </c>
      <c r="D15" s="28" t="s">
        <v>114</v>
      </c>
      <c r="E15" s="16" t="s">
        <v>115</v>
      </c>
      <c r="F15" s="16" t="s">
        <v>215</v>
      </c>
      <c r="G15" s="16" t="s">
        <v>409</v>
      </c>
      <c r="H15" s="23" t="s">
        <v>320</v>
      </c>
      <c r="I15" s="18" t="s">
        <v>301</v>
      </c>
      <c r="J15" s="18" t="s">
        <v>507</v>
      </c>
      <c r="K15" s="18" t="s">
        <v>775</v>
      </c>
      <c r="L15" s="18" t="s">
        <v>690</v>
      </c>
    </row>
    <row r="16" spans="1:12" x14ac:dyDescent="0.2">
      <c r="A16" t="s">
        <v>805</v>
      </c>
      <c r="B16" s="47" t="s">
        <v>566</v>
      </c>
      <c r="C16" s="16" t="s">
        <v>146</v>
      </c>
      <c r="D16" s="28" t="s">
        <v>114</v>
      </c>
      <c r="E16" s="16" t="s">
        <v>115</v>
      </c>
      <c r="F16" s="16" t="s">
        <v>147</v>
      </c>
      <c r="G16" s="16" t="s">
        <v>347</v>
      </c>
      <c r="H16" s="23" t="s">
        <v>320</v>
      </c>
      <c r="I16" s="18" t="s">
        <v>270</v>
      </c>
      <c r="J16" s="18" t="s">
        <v>468</v>
      </c>
      <c r="K16" s="18" t="s">
        <v>721</v>
      </c>
      <c r="L16" s="18" t="s">
        <v>692</v>
      </c>
    </row>
    <row r="17" spans="1:12" x14ac:dyDescent="0.2">
      <c r="A17" t="s">
        <v>805</v>
      </c>
      <c r="B17" s="47" t="s">
        <v>567</v>
      </c>
      <c r="C17" s="16" t="s">
        <v>198</v>
      </c>
      <c r="D17" s="28" t="s">
        <v>114</v>
      </c>
      <c r="E17" s="16" t="s">
        <v>115</v>
      </c>
      <c r="F17" s="16" t="s">
        <v>199</v>
      </c>
      <c r="G17" s="16" t="s">
        <v>390</v>
      </c>
      <c r="H17" s="23" t="s">
        <v>320</v>
      </c>
      <c r="I17" s="18" t="s">
        <v>293</v>
      </c>
      <c r="J17" s="18" t="s">
        <v>496</v>
      </c>
      <c r="K17" s="18" t="s">
        <v>761</v>
      </c>
      <c r="L17" s="18" t="s">
        <v>694</v>
      </c>
    </row>
    <row r="18" spans="1:12" x14ac:dyDescent="0.2">
      <c r="A18" t="s">
        <v>805</v>
      </c>
      <c r="B18" s="47" t="s">
        <v>568</v>
      </c>
      <c r="C18" s="16" t="s">
        <v>170</v>
      </c>
      <c r="D18" s="28" t="s">
        <v>144</v>
      </c>
      <c r="E18" s="16" t="s">
        <v>115</v>
      </c>
      <c r="F18" s="16" t="s">
        <v>171</v>
      </c>
      <c r="G18" s="16" t="s">
        <v>372</v>
      </c>
      <c r="H18" s="23" t="s">
        <v>320</v>
      </c>
      <c r="I18" s="18" t="s">
        <v>280</v>
      </c>
      <c r="J18" s="18" t="s">
        <v>483</v>
      </c>
      <c r="K18" s="18" t="s">
        <v>743</v>
      </c>
      <c r="L18" s="18" t="s">
        <v>764</v>
      </c>
    </row>
    <row r="19" spans="1:12" x14ac:dyDescent="0.2">
      <c r="A19" t="s">
        <v>805</v>
      </c>
      <c r="B19" s="47" t="s">
        <v>569</v>
      </c>
      <c r="C19" s="16" t="s">
        <v>246</v>
      </c>
      <c r="D19" s="28" t="s">
        <v>125</v>
      </c>
      <c r="E19" s="16" t="s">
        <v>115</v>
      </c>
      <c r="F19" s="16" t="s">
        <v>247</v>
      </c>
      <c r="G19" s="16" t="s">
        <v>436</v>
      </c>
      <c r="H19" s="23" t="s">
        <v>320</v>
      </c>
      <c r="I19" s="18" t="s">
        <v>317</v>
      </c>
      <c r="J19" s="18" t="s">
        <v>526</v>
      </c>
      <c r="K19" s="18" t="s">
        <v>793</v>
      </c>
      <c r="L19" s="18" t="s">
        <v>740</v>
      </c>
    </row>
    <row r="20" spans="1:12" x14ac:dyDescent="0.2">
      <c r="A20" t="s">
        <v>805</v>
      </c>
      <c r="B20" s="47" t="s">
        <v>59</v>
      </c>
      <c r="C20" s="16" t="s">
        <v>134</v>
      </c>
      <c r="D20" s="28" t="s">
        <v>125</v>
      </c>
      <c r="E20" s="16" t="s">
        <v>115</v>
      </c>
      <c r="F20" s="16" t="s">
        <v>135</v>
      </c>
      <c r="G20" s="16" t="s">
        <v>339</v>
      </c>
      <c r="H20" s="23" t="s">
        <v>320</v>
      </c>
      <c r="I20" s="18" t="s">
        <v>265</v>
      </c>
      <c r="J20" s="18" t="s">
        <v>462</v>
      </c>
      <c r="K20" s="18" t="s">
        <v>713</v>
      </c>
      <c r="L20" s="18" t="s">
        <v>742</v>
      </c>
    </row>
    <row r="21" spans="1:12" x14ac:dyDescent="0.2">
      <c r="A21" t="s">
        <v>805</v>
      </c>
      <c r="B21" s="47" t="s">
        <v>571</v>
      </c>
      <c r="C21" s="16" t="s">
        <v>356</v>
      </c>
      <c r="D21" s="28" t="s">
        <v>125</v>
      </c>
      <c r="E21" s="16" t="s">
        <v>115</v>
      </c>
      <c r="F21" s="16" t="s">
        <v>357</v>
      </c>
      <c r="G21" s="16" t="s">
        <v>358</v>
      </c>
      <c r="H21" s="23" t="s">
        <v>320</v>
      </c>
      <c r="I21" s="18" t="s">
        <v>442</v>
      </c>
      <c r="J21" s="18" t="s">
        <v>475</v>
      </c>
      <c r="K21" s="18" t="s">
        <v>729</v>
      </c>
      <c r="L21" s="18" t="s">
        <v>744</v>
      </c>
    </row>
    <row r="22" spans="1:12" x14ac:dyDescent="0.2">
      <c r="A22" t="s">
        <v>805</v>
      </c>
      <c r="B22" s="47" t="s">
        <v>572</v>
      </c>
      <c r="C22" s="16" t="s">
        <v>191</v>
      </c>
      <c r="D22" s="28" t="s">
        <v>125</v>
      </c>
      <c r="E22" s="16" t="s">
        <v>115</v>
      </c>
      <c r="F22" s="16" t="s">
        <v>192</v>
      </c>
      <c r="G22" s="16" t="s">
        <v>382</v>
      </c>
      <c r="H22" s="23" t="s">
        <v>320</v>
      </c>
      <c r="I22" s="18" t="s">
        <v>290</v>
      </c>
      <c r="J22" s="18" t="s">
        <v>493</v>
      </c>
      <c r="K22" s="18" t="s">
        <v>759</v>
      </c>
      <c r="L22" s="18" t="s">
        <v>746</v>
      </c>
    </row>
    <row r="23" spans="1:12" x14ac:dyDescent="0.2">
      <c r="A23" t="s">
        <v>805</v>
      </c>
      <c r="B23" s="47" t="s">
        <v>574</v>
      </c>
      <c r="C23" s="16" t="s">
        <v>397</v>
      </c>
      <c r="D23" s="28" t="s">
        <v>398</v>
      </c>
      <c r="E23" s="16" t="s">
        <v>115</v>
      </c>
      <c r="F23" s="16" t="s">
        <v>399</v>
      </c>
      <c r="G23" s="16" t="s">
        <v>400</v>
      </c>
      <c r="H23" s="23" t="s">
        <v>320</v>
      </c>
      <c r="I23" s="18" t="s">
        <v>448</v>
      </c>
      <c r="J23" s="18" t="s">
        <v>500</v>
      </c>
      <c r="K23" s="18" t="s">
        <v>765</v>
      </c>
      <c r="L23" s="18" t="s">
        <v>774</v>
      </c>
    </row>
    <row r="24" spans="1:12" x14ac:dyDescent="0.2">
      <c r="A24" t="s">
        <v>805</v>
      </c>
      <c r="B24" s="47" t="s">
        <v>575</v>
      </c>
      <c r="C24" s="16" t="s">
        <v>220</v>
      </c>
      <c r="D24" s="28" t="s">
        <v>114</v>
      </c>
      <c r="E24" s="16" t="s">
        <v>115</v>
      </c>
      <c r="F24" s="16" t="s">
        <v>221</v>
      </c>
      <c r="G24" s="16" t="s">
        <v>412</v>
      </c>
      <c r="H24" s="23" t="s">
        <v>320</v>
      </c>
      <c r="I24" s="18" t="s">
        <v>304</v>
      </c>
      <c r="J24" s="18" t="s">
        <v>510</v>
      </c>
      <c r="K24" s="18" t="s">
        <v>779</v>
      </c>
      <c r="L24" s="18" t="s">
        <v>696</v>
      </c>
    </row>
    <row r="25" spans="1:12" x14ac:dyDescent="0.2">
      <c r="A25" t="s">
        <v>805</v>
      </c>
      <c r="B25" s="47" t="s">
        <v>88</v>
      </c>
      <c r="C25" s="16" t="s">
        <v>152</v>
      </c>
      <c r="D25" s="28" t="s">
        <v>114</v>
      </c>
      <c r="E25" s="16" t="s">
        <v>115</v>
      </c>
      <c r="F25" s="16" t="s">
        <v>153</v>
      </c>
      <c r="G25" s="16" t="s">
        <v>353</v>
      </c>
      <c r="H25" s="23" t="s">
        <v>320</v>
      </c>
      <c r="I25" s="18" t="s">
        <v>273</v>
      </c>
      <c r="J25" s="18" t="s">
        <v>472</v>
      </c>
      <c r="K25" s="18" t="s">
        <v>727</v>
      </c>
      <c r="L25" s="18" t="s">
        <v>698</v>
      </c>
    </row>
    <row r="26" spans="1:12" x14ac:dyDescent="0.2">
      <c r="A26" t="s">
        <v>805</v>
      </c>
      <c r="B26" s="47" t="s">
        <v>579</v>
      </c>
      <c r="C26" s="16" t="s">
        <v>208</v>
      </c>
      <c r="D26" s="28" t="s">
        <v>114</v>
      </c>
      <c r="E26" s="16" t="s">
        <v>115</v>
      </c>
      <c r="F26" s="16" t="s">
        <v>209</v>
      </c>
      <c r="G26" s="16" t="s">
        <v>403</v>
      </c>
      <c r="H26" s="23" t="s">
        <v>320</v>
      </c>
      <c r="I26" s="18" t="s">
        <v>298</v>
      </c>
      <c r="J26" s="18" t="s">
        <v>503</v>
      </c>
      <c r="K26" s="18" t="s">
        <v>769</v>
      </c>
      <c r="L26" s="18" t="s">
        <v>700</v>
      </c>
    </row>
    <row r="27" spans="1:12" x14ac:dyDescent="0.2">
      <c r="A27" t="s">
        <v>805</v>
      </c>
      <c r="B27" s="47" t="s">
        <v>582</v>
      </c>
      <c r="C27" s="16" t="s">
        <v>222</v>
      </c>
      <c r="D27" s="28" t="s">
        <v>114</v>
      </c>
      <c r="E27" s="16" t="s">
        <v>115</v>
      </c>
      <c r="F27" s="16" t="s">
        <v>223</v>
      </c>
      <c r="G27" s="16" t="s">
        <v>413</v>
      </c>
      <c r="H27" s="23" t="s">
        <v>320</v>
      </c>
      <c r="I27" s="18" t="s">
        <v>305</v>
      </c>
      <c r="J27" s="18" t="s">
        <v>511</v>
      </c>
      <c r="K27" s="18" t="s">
        <v>781</v>
      </c>
      <c r="L27" s="18" t="s">
        <v>702</v>
      </c>
    </row>
    <row r="28" spans="1:12" x14ac:dyDescent="0.2">
      <c r="A28" t="s">
        <v>805</v>
      </c>
      <c r="B28" s="47" t="s">
        <v>583</v>
      </c>
      <c r="C28" s="16" t="s">
        <v>122</v>
      </c>
      <c r="D28" s="28" t="s">
        <v>114</v>
      </c>
      <c r="E28" s="16" t="s">
        <v>115</v>
      </c>
      <c r="F28" s="16" t="s">
        <v>123</v>
      </c>
      <c r="G28" s="16" t="s">
        <v>331</v>
      </c>
      <c r="H28" s="23" t="s">
        <v>320</v>
      </c>
      <c r="I28" s="18" t="s">
        <v>260</v>
      </c>
      <c r="J28" s="18" t="s">
        <v>456</v>
      </c>
      <c r="K28" s="18" t="s">
        <v>703</v>
      </c>
      <c r="L28" s="18" t="s">
        <v>704</v>
      </c>
    </row>
    <row r="29" spans="1:12" x14ac:dyDescent="0.2">
      <c r="A29" t="s">
        <v>805</v>
      </c>
      <c r="B29" s="47" t="s">
        <v>584</v>
      </c>
      <c r="C29" s="16" t="s">
        <v>364</v>
      </c>
      <c r="D29" s="28" t="s">
        <v>144</v>
      </c>
      <c r="E29" s="16" t="s">
        <v>115</v>
      </c>
      <c r="F29" s="16" t="s">
        <v>365</v>
      </c>
      <c r="G29" s="16" t="s">
        <v>366</v>
      </c>
      <c r="H29" s="23" t="s">
        <v>320</v>
      </c>
      <c r="I29" s="18" t="s">
        <v>444</v>
      </c>
      <c r="J29" s="18" t="s">
        <v>479</v>
      </c>
      <c r="K29" s="18" t="s">
        <v>737</v>
      </c>
      <c r="L29" s="18" t="s">
        <v>768</v>
      </c>
    </row>
    <row r="30" spans="1:12" x14ac:dyDescent="0.2">
      <c r="A30" t="s">
        <v>805</v>
      </c>
      <c r="B30" s="47" t="s">
        <v>585</v>
      </c>
      <c r="C30" s="16" t="s">
        <v>224</v>
      </c>
      <c r="D30" s="28" t="s">
        <v>125</v>
      </c>
      <c r="E30" s="16" t="s">
        <v>115</v>
      </c>
      <c r="F30" s="16" t="s">
        <v>225</v>
      </c>
      <c r="G30" s="16" t="s">
        <v>417</v>
      </c>
      <c r="H30" s="23" t="s">
        <v>320</v>
      </c>
      <c r="I30" s="18" t="s">
        <v>306</v>
      </c>
      <c r="J30" s="18" t="s">
        <v>513</v>
      </c>
      <c r="K30" s="18" t="s">
        <v>783</v>
      </c>
      <c r="L30" s="18" t="s">
        <v>748</v>
      </c>
    </row>
    <row r="31" spans="1:12" x14ac:dyDescent="0.2">
      <c r="A31" t="s">
        <v>805</v>
      </c>
      <c r="B31" s="47" t="s">
        <v>586</v>
      </c>
      <c r="C31" s="16" t="s">
        <v>174</v>
      </c>
      <c r="D31" s="28" t="s">
        <v>114</v>
      </c>
      <c r="E31" s="16" t="s">
        <v>115</v>
      </c>
      <c r="F31" s="16" t="s">
        <v>175</v>
      </c>
      <c r="G31" s="16" t="s">
        <v>374</v>
      </c>
      <c r="H31" s="23" t="s">
        <v>320</v>
      </c>
      <c r="I31" s="18" t="s">
        <v>282</v>
      </c>
      <c r="J31" s="18" t="s">
        <v>485</v>
      </c>
      <c r="K31" s="18" t="s">
        <v>747</v>
      </c>
      <c r="L31" s="18" t="s">
        <v>706</v>
      </c>
    </row>
    <row r="32" spans="1:12" x14ac:dyDescent="0.2">
      <c r="A32" t="s">
        <v>805</v>
      </c>
      <c r="B32" s="47" t="s">
        <v>587</v>
      </c>
      <c r="C32" s="16" t="s">
        <v>138</v>
      </c>
      <c r="D32" s="28" t="s">
        <v>114</v>
      </c>
      <c r="E32" s="16" t="s">
        <v>115</v>
      </c>
      <c r="F32" s="16" t="s">
        <v>139</v>
      </c>
      <c r="G32" s="16" t="s">
        <v>341</v>
      </c>
      <c r="H32" s="23" t="s">
        <v>320</v>
      </c>
      <c r="I32" s="18" t="s">
        <v>267</v>
      </c>
      <c r="J32" s="18" t="s">
        <v>464</v>
      </c>
      <c r="K32" s="18" t="s">
        <v>717</v>
      </c>
      <c r="L32" s="18" t="s">
        <v>708</v>
      </c>
    </row>
    <row r="33" spans="1:12" x14ac:dyDescent="0.2">
      <c r="A33" t="s">
        <v>805</v>
      </c>
      <c r="B33" s="47" t="s">
        <v>588</v>
      </c>
      <c r="C33" s="16" t="s">
        <v>232</v>
      </c>
      <c r="D33" s="28" t="s">
        <v>125</v>
      </c>
      <c r="E33" s="16" t="s">
        <v>115</v>
      </c>
      <c r="F33" s="16" t="s">
        <v>233</v>
      </c>
      <c r="G33" s="16" t="s">
        <v>425</v>
      </c>
      <c r="H33" s="23" t="s">
        <v>320</v>
      </c>
      <c r="I33" s="18" t="s">
        <v>310</v>
      </c>
      <c r="J33" s="18" t="s">
        <v>518</v>
      </c>
      <c r="K33" s="18" t="s">
        <v>787</v>
      </c>
      <c r="L33" s="18" t="s">
        <v>750</v>
      </c>
    </row>
    <row r="34" spans="1:12" x14ac:dyDescent="0.2">
      <c r="A34" t="s">
        <v>805</v>
      </c>
      <c r="B34" s="47" t="s">
        <v>589</v>
      </c>
      <c r="C34" s="16" t="s">
        <v>172</v>
      </c>
      <c r="D34" s="28" t="s">
        <v>114</v>
      </c>
      <c r="E34" s="16" t="s">
        <v>115</v>
      </c>
      <c r="F34" s="16" t="s">
        <v>173</v>
      </c>
      <c r="G34" s="16" t="s">
        <v>373</v>
      </c>
      <c r="H34" s="23" t="s">
        <v>320</v>
      </c>
      <c r="I34" s="18" t="s">
        <v>281</v>
      </c>
      <c r="J34" s="18" t="s">
        <v>484</v>
      </c>
      <c r="K34" s="18" t="s">
        <v>745</v>
      </c>
      <c r="L34" s="18" t="s">
        <v>710</v>
      </c>
    </row>
    <row r="35" spans="1:12" x14ac:dyDescent="0.2">
      <c r="A35" t="s">
        <v>805</v>
      </c>
      <c r="B35" s="47" t="s">
        <v>590</v>
      </c>
      <c r="C35" s="16" t="s">
        <v>202</v>
      </c>
      <c r="D35" s="28" t="s">
        <v>114</v>
      </c>
      <c r="E35" s="16" t="s">
        <v>115</v>
      </c>
      <c r="F35" s="16" t="s">
        <v>203</v>
      </c>
      <c r="G35" s="16" t="s">
        <v>396</v>
      </c>
      <c r="H35" s="23" t="s">
        <v>320</v>
      </c>
      <c r="I35" s="18" t="s">
        <v>295</v>
      </c>
      <c r="J35" s="18" t="s">
        <v>499</v>
      </c>
      <c r="K35" s="18" t="s">
        <v>763</v>
      </c>
      <c r="L35" s="18" t="s">
        <v>712</v>
      </c>
    </row>
    <row r="36" spans="1:12" x14ac:dyDescent="0.2">
      <c r="A36" t="s">
        <v>805</v>
      </c>
      <c r="B36" s="47" t="s">
        <v>69</v>
      </c>
      <c r="C36" s="16" t="s">
        <v>124</v>
      </c>
      <c r="D36" s="28" t="s">
        <v>125</v>
      </c>
      <c r="E36" s="16" t="s">
        <v>115</v>
      </c>
      <c r="F36" s="16" t="s">
        <v>126</v>
      </c>
      <c r="G36" s="16" t="s">
        <v>332</v>
      </c>
      <c r="H36" s="23" t="s">
        <v>320</v>
      </c>
      <c r="I36" s="18" t="s">
        <v>261</v>
      </c>
      <c r="J36" s="18" t="s">
        <v>457</v>
      </c>
      <c r="K36" s="18" t="s">
        <v>705</v>
      </c>
      <c r="L36" s="18" t="s">
        <v>752</v>
      </c>
    </row>
    <row r="37" spans="1:12" x14ac:dyDescent="0.2">
      <c r="A37" t="s">
        <v>805</v>
      </c>
      <c r="B37" s="47" t="s">
        <v>64</v>
      </c>
      <c r="C37" s="16" t="s">
        <v>242</v>
      </c>
      <c r="D37" s="28" t="s">
        <v>125</v>
      </c>
      <c r="E37" s="16" t="s">
        <v>115</v>
      </c>
      <c r="F37" s="16" t="s">
        <v>243</v>
      </c>
      <c r="G37" s="16" t="s">
        <v>431</v>
      </c>
      <c r="H37" s="23" t="s">
        <v>320</v>
      </c>
      <c r="I37" s="18" t="s">
        <v>315</v>
      </c>
      <c r="J37" s="18" t="s">
        <v>523</v>
      </c>
      <c r="K37" s="18" t="s">
        <v>789</v>
      </c>
      <c r="L37" s="18" t="s">
        <v>754</v>
      </c>
    </row>
    <row r="38" spans="1:12" x14ac:dyDescent="0.2">
      <c r="A38" t="s">
        <v>805</v>
      </c>
      <c r="B38" s="47" t="s">
        <v>592</v>
      </c>
      <c r="C38" s="16" t="s">
        <v>206</v>
      </c>
      <c r="D38" s="28" t="s">
        <v>165</v>
      </c>
      <c r="E38" s="16" t="s">
        <v>115</v>
      </c>
      <c r="F38" s="16" t="s">
        <v>207</v>
      </c>
      <c r="G38" s="16" t="s">
        <v>402</v>
      </c>
      <c r="H38" s="23" t="s">
        <v>320</v>
      </c>
      <c r="I38" s="18" t="s">
        <v>297</v>
      </c>
      <c r="J38" s="18" t="s">
        <v>502</v>
      </c>
      <c r="K38" s="18" t="s">
        <v>767</v>
      </c>
      <c r="L38" s="18" t="s">
        <v>758</v>
      </c>
    </row>
    <row r="39" spans="1:12" x14ac:dyDescent="0.2">
      <c r="A39" t="s">
        <v>805</v>
      </c>
      <c r="B39" s="47" t="s">
        <v>41</v>
      </c>
      <c r="C39" s="16" t="s">
        <v>150</v>
      </c>
      <c r="D39" s="28" t="s">
        <v>114</v>
      </c>
      <c r="E39" s="16" t="s">
        <v>115</v>
      </c>
      <c r="F39" s="16" t="s">
        <v>151</v>
      </c>
      <c r="G39" s="16" t="s">
        <v>349</v>
      </c>
      <c r="H39" s="23" t="s">
        <v>320</v>
      </c>
      <c r="I39" s="18" t="s">
        <v>272</v>
      </c>
      <c r="J39" s="18" t="s">
        <v>470</v>
      </c>
      <c r="K39" s="18" t="s">
        <v>725</v>
      </c>
      <c r="L39" s="18" t="s">
        <v>714</v>
      </c>
    </row>
    <row r="40" spans="1:12" x14ac:dyDescent="0.2">
      <c r="A40" t="s">
        <v>805</v>
      </c>
      <c r="B40" s="47" t="s">
        <v>593</v>
      </c>
      <c r="C40" s="16" t="s">
        <v>180</v>
      </c>
      <c r="D40" s="28" t="s">
        <v>114</v>
      </c>
      <c r="E40" s="16" t="s">
        <v>115</v>
      </c>
      <c r="F40" s="16" t="s">
        <v>181</v>
      </c>
      <c r="G40" s="16" t="s">
        <v>377</v>
      </c>
      <c r="H40" s="23" t="s">
        <v>320</v>
      </c>
      <c r="I40" s="18" t="s">
        <v>285</v>
      </c>
      <c r="J40" s="18" t="s">
        <v>488</v>
      </c>
      <c r="K40" s="18" t="s">
        <v>753</v>
      </c>
      <c r="L40" s="18" t="s">
        <v>716</v>
      </c>
    </row>
    <row r="41" spans="1:12" x14ac:dyDescent="0.2">
      <c r="A41" t="s">
        <v>805</v>
      </c>
      <c r="B41" s="47" t="s">
        <v>29</v>
      </c>
      <c r="C41" s="16" t="s">
        <v>230</v>
      </c>
      <c r="D41" s="28" t="s">
        <v>114</v>
      </c>
      <c r="E41" s="16" t="s">
        <v>115</v>
      </c>
      <c r="F41" s="16" t="s">
        <v>231</v>
      </c>
      <c r="G41" s="16" t="s">
        <v>424</v>
      </c>
      <c r="H41" s="23" t="s">
        <v>320</v>
      </c>
      <c r="I41" s="18" t="s">
        <v>309</v>
      </c>
      <c r="J41" s="18" t="s">
        <v>517</v>
      </c>
      <c r="K41" s="18" t="s">
        <v>785</v>
      </c>
      <c r="L41" s="18" t="s">
        <v>718</v>
      </c>
    </row>
    <row r="42" spans="1:12" x14ac:dyDescent="0.2">
      <c r="A42" t="s">
        <v>805</v>
      </c>
      <c r="B42" s="47" t="s">
        <v>595</v>
      </c>
      <c r="C42" s="16" t="s">
        <v>360</v>
      </c>
      <c r="D42" s="28" t="s">
        <v>165</v>
      </c>
      <c r="E42" s="16" t="s">
        <v>115</v>
      </c>
      <c r="F42" s="16" t="s">
        <v>361</v>
      </c>
      <c r="G42" s="16" t="s">
        <v>362</v>
      </c>
      <c r="H42" s="23" t="s">
        <v>320</v>
      </c>
      <c r="I42" s="18" t="s">
        <v>443</v>
      </c>
      <c r="J42" s="18" t="s">
        <v>477</v>
      </c>
      <c r="K42" s="18" t="s">
        <v>733</v>
      </c>
      <c r="L42" s="18" t="s">
        <v>760</v>
      </c>
    </row>
    <row r="43" spans="1:12" x14ac:dyDescent="0.2">
      <c r="A43" t="s">
        <v>805</v>
      </c>
      <c r="B43" s="47" t="s">
        <v>596</v>
      </c>
      <c r="C43" s="16" t="s">
        <v>212</v>
      </c>
      <c r="D43" s="28" t="s">
        <v>114</v>
      </c>
      <c r="E43" s="16" t="s">
        <v>115</v>
      </c>
      <c r="F43" s="16" t="s">
        <v>213</v>
      </c>
      <c r="G43" s="16" t="s">
        <v>405</v>
      </c>
      <c r="H43" s="23" t="s">
        <v>320</v>
      </c>
      <c r="I43" s="18" t="s">
        <v>300</v>
      </c>
      <c r="J43" s="18" t="s">
        <v>505</v>
      </c>
      <c r="K43" s="18" t="s">
        <v>771</v>
      </c>
      <c r="L43" s="18" t="s">
        <v>720</v>
      </c>
    </row>
    <row r="44" spans="1:12" ht="28.5" x14ac:dyDescent="0.2">
      <c r="A44" t="s">
        <v>805</v>
      </c>
      <c r="B44" s="47" t="s">
        <v>597</v>
      </c>
      <c r="C44" s="16" t="s">
        <v>432</v>
      </c>
      <c r="D44" s="28" t="s">
        <v>165</v>
      </c>
      <c r="E44" s="16" t="s">
        <v>115</v>
      </c>
      <c r="F44" s="16" t="s">
        <v>433</v>
      </c>
      <c r="G44" s="16" t="s">
        <v>434</v>
      </c>
      <c r="H44" s="23" t="s">
        <v>320</v>
      </c>
      <c r="I44" s="18" t="s">
        <v>452</v>
      </c>
      <c r="J44" s="18" t="s">
        <v>524</v>
      </c>
      <c r="K44" s="18" t="s">
        <v>791</v>
      </c>
      <c r="L44" s="18" t="s">
        <v>762</v>
      </c>
    </row>
    <row r="45" spans="1:12" x14ac:dyDescent="0.2">
      <c r="A45" t="s">
        <v>805</v>
      </c>
      <c r="B45" s="47" t="s">
        <v>598</v>
      </c>
      <c r="C45" s="16" t="s">
        <v>336</v>
      </c>
      <c r="D45" s="28" t="s">
        <v>114</v>
      </c>
      <c r="E45" s="16" t="s">
        <v>115</v>
      </c>
      <c r="F45" s="16" t="s">
        <v>337</v>
      </c>
      <c r="G45" s="16" t="s">
        <v>338</v>
      </c>
      <c r="H45" s="23" t="s">
        <v>320</v>
      </c>
      <c r="I45" s="18" t="s">
        <v>439</v>
      </c>
      <c r="J45" s="18" t="s">
        <v>461</v>
      </c>
      <c r="K45" s="18" t="s">
        <v>711</v>
      </c>
      <c r="L45" s="18" t="s">
        <v>722</v>
      </c>
    </row>
    <row r="46" spans="1:12" x14ac:dyDescent="0.2">
      <c r="A46" t="s">
        <v>805</v>
      </c>
      <c r="B46" s="47" t="s">
        <v>76</v>
      </c>
      <c r="C46" s="16" t="s">
        <v>178</v>
      </c>
      <c r="D46" s="28" t="s">
        <v>114</v>
      </c>
      <c r="E46" s="16" t="s">
        <v>115</v>
      </c>
      <c r="F46" s="16" t="s">
        <v>179</v>
      </c>
      <c r="G46" s="16" t="s">
        <v>376</v>
      </c>
      <c r="H46" s="23" t="s">
        <v>320</v>
      </c>
      <c r="I46" s="18" t="s">
        <v>284</v>
      </c>
      <c r="J46" s="18" t="s">
        <v>487</v>
      </c>
      <c r="K46" s="18" t="s">
        <v>751</v>
      </c>
      <c r="L46" s="18" t="s">
        <v>724</v>
      </c>
    </row>
    <row r="47" spans="1:12" x14ac:dyDescent="0.2">
      <c r="A47" t="s">
        <v>805</v>
      </c>
      <c r="B47" s="47" t="s">
        <v>62</v>
      </c>
      <c r="C47" s="16" t="s">
        <v>143</v>
      </c>
      <c r="D47" s="28" t="s">
        <v>144</v>
      </c>
      <c r="E47" s="16" t="s">
        <v>115</v>
      </c>
      <c r="F47" s="16" t="s">
        <v>145</v>
      </c>
      <c r="G47" s="16" t="s">
        <v>346</v>
      </c>
      <c r="H47" s="23" t="s">
        <v>320</v>
      </c>
      <c r="I47" s="18" t="s">
        <v>269</v>
      </c>
      <c r="J47" s="18" t="s">
        <v>467</v>
      </c>
      <c r="K47" s="18" t="s">
        <v>719</v>
      </c>
      <c r="L47" s="18" t="s">
        <v>770</v>
      </c>
    </row>
    <row r="48" spans="1:12" x14ac:dyDescent="0.2">
      <c r="A48" t="s">
        <v>805</v>
      </c>
      <c r="B48" s="47" t="s">
        <v>600</v>
      </c>
      <c r="C48" s="16" t="s">
        <v>216</v>
      </c>
      <c r="D48" s="28" t="s">
        <v>114</v>
      </c>
      <c r="E48" s="16" t="s">
        <v>115</v>
      </c>
      <c r="F48" s="16" t="s">
        <v>217</v>
      </c>
      <c r="G48" s="16" t="s">
        <v>410</v>
      </c>
      <c r="H48" s="23" t="s">
        <v>320</v>
      </c>
      <c r="I48" s="18" t="s">
        <v>302</v>
      </c>
      <c r="J48" s="18" t="s">
        <v>508</v>
      </c>
      <c r="K48" s="18" t="s">
        <v>777</v>
      </c>
      <c r="L48" s="18" t="s">
        <v>728</v>
      </c>
    </row>
    <row r="49" spans="1:12" x14ac:dyDescent="0.2">
      <c r="A49" t="s">
        <v>805</v>
      </c>
      <c r="B49" s="47" t="s">
        <v>601</v>
      </c>
      <c r="C49" s="16" t="s">
        <v>162</v>
      </c>
      <c r="D49" s="28" t="s">
        <v>114</v>
      </c>
      <c r="E49" s="16" t="s">
        <v>115</v>
      </c>
      <c r="F49" s="16" t="s">
        <v>163</v>
      </c>
      <c r="G49" s="16" t="s">
        <v>363</v>
      </c>
      <c r="H49" s="23" t="s">
        <v>320</v>
      </c>
      <c r="I49" s="18" t="s">
        <v>277</v>
      </c>
      <c r="J49" s="18" t="s">
        <v>478</v>
      </c>
      <c r="K49" s="18" t="s">
        <v>735</v>
      </c>
      <c r="L49" s="18" t="s">
        <v>730</v>
      </c>
    </row>
    <row r="50" spans="1:12" x14ac:dyDescent="0.2">
      <c r="A50" t="s">
        <v>805</v>
      </c>
      <c r="B50" s="47" t="s">
        <v>602</v>
      </c>
      <c r="C50" s="16" t="s">
        <v>176</v>
      </c>
      <c r="D50" s="28" t="s">
        <v>114</v>
      </c>
      <c r="E50" s="16" t="s">
        <v>115</v>
      </c>
      <c r="F50" s="16" t="s">
        <v>177</v>
      </c>
      <c r="G50" s="16" t="s">
        <v>375</v>
      </c>
      <c r="H50" s="23" t="s">
        <v>320</v>
      </c>
      <c r="I50" s="18" t="s">
        <v>283</v>
      </c>
      <c r="J50" s="18" t="s">
        <v>486</v>
      </c>
      <c r="K50" s="18" t="s">
        <v>749</v>
      </c>
      <c r="L50" s="18" t="s">
        <v>732</v>
      </c>
    </row>
    <row r="51" spans="1:12" x14ac:dyDescent="0.2">
      <c r="A51" t="s">
        <v>805</v>
      </c>
      <c r="B51" s="47" t="s">
        <v>38</v>
      </c>
      <c r="C51" s="16" t="s">
        <v>113</v>
      </c>
      <c r="D51" s="28" t="s">
        <v>114</v>
      </c>
      <c r="E51" s="16" t="s">
        <v>115</v>
      </c>
      <c r="F51" s="16" t="s">
        <v>116</v>
      </c>
      <c r="G51" s="16" t="s">
        <v>328</v>
      </c>
      <c r="H51" s="23" t="s">
        <v>320</v>
      </c>
      <c r="I51" s="18" t="s">
        <v>257</v>
      </c>
      <c r="J51" s="18" t="s">
        <v>453</v>
      </c>
      <c r="K51" s="18" t="s">
        <v>699</v>
      </c>
      <c r="L51" s="18" t="s">
        <v>734</v>
      </c>
    </row>
    <row r="52" spans="1:12" x14ac:dyDescent="0.2">
      <c r="A52" t="s">
        <v>805</v>
      </c>
      <c r="B52" s="47" t="s">
        <v>604</v>
      </c>
      <c r="C52" s="16" t="s">
        <v>148</v>
      </c>
      <c r="D52" s="28" t="s">
        <v>144</v>
      </c>
      <c r="E52" s="16" t="s">
        <v>115</v>
      </c>
      <c r="F52" s="16" t="s">
        <v>149</v>
      </c>
      <c r="G52" s="16" t="s">
        <v>348</v>
      </c>
      <c r="H52" s="23" t="s">
        <v>320</v>
      </c>
      <c r="I52" s="18" t="s">
        <v>271</v>
      </c>
      <c r="J52" s="18" t="s">
        <v>469</v>
      </c>
      <c r="K52" s="18" t="s">
        <v>723</v>
      </c>
      <c r="L52" s="18" t="s">
        <v>772</v>
      </c>
    </row>
    <row r="53" spans="1:12" x14ac:dyDescent="0.2">
      <c r="A53" t="s">
        <v>805</v>
      </c>
      <c r="B53" s="47" t="s">
        <v>605</v>
      </c>
      <c r="C53" s="16" t="s">
        <v>132</v>
      </c>
      <c r="D53" s="28" t="s">
        <v>114</v>
      </c>
      <c r="E53" s="16" t="s">
        <v>115</v>
      </c>
      <c r="F53" s="16" t="s">
        <v>133</v>
      </c>
      <c r="G53" s="16" t="s">
        <v>335</v>
      </c>
      <c r="H53" s="23" t="s">
        <v>320</v>
      </c>
      <c r="I53" s="18" t="s">
        <v>264</v>
      </c>
      <c r="J53" s="18" t="s">
        <v>460</v>
      </c>
      <c r="K53" s="18" t="s">
        <v>709</v>
      </c>
      <c r="L53" s="18" t="s">
        <v>736</v>
      </c>
    </row>
    <row r="54" spans="1:12" x14ac:dyDescent="0.2">
      <c r="A54" t="s">
        <v>805</v>
      </c>
      <c r="B54" s="47" t="s">
        <v>550</v>
      </c>
      <c r="C54" s="16" t="s">
        <v>127</v>
      </c>
      <c r="D54" s="28" t="s">
        <v>128</v>
      </c>
      <c r="E54" s="16" t="s">
        <v>387</v>
      </c>
      <c r="F54" s="16" t="s">
        <v>129</v>
      </c>
      <c r="G54" s="16" t="s">
        <v>333</v>
      </c>
      <c r="H54" s="23" t="s">
        <v>321</v>
      </c>
      <c r="I54" s="18" t="s">
        <v>262</v>
      </c>
      <c r="J54" s="18" t="s">
        <v>458</v>
      </c>
      <c r="K54" s="18" t="s">
        <v>673</v>
      </c>
      <c r="L54" s="18" t="s">
        <v>674</v>
      </c>
    </row>
    <row r="55" spans="1:12" x14ac:dyDescent="0.2">
      <c r="A55" t="s">
        <v>805</v>
      </c>
      <c r="B55" s="47" t="s">
        <v>551</v>
      </c>
      <c r="C55" s="16" t="s">
        <v>226</v>
      </c>
      <c r="D55" s="28" t="s">
        <v>161</v>
      </c>
      <c r="E55" s="16" t="s">
        <v>387</v>
      </c>
      <c r="F55" s="16" t="s">
        <v>227</v>
      </c>
      <c r="G55" s="16" t="s">
        <v>418</v>
      </c>
      <c r="H55" s="23" t="s">
        <v>321</v>
      </c>
      <c r="I55" s="18" t="s">
        <v>307</v>
      </c>
      <c r="J55" s="18" t="s">
        <v>514</v>
      </c>
      <c r="K55" s="18" t="s">
        <v>683</v>
      </c>
      <c r="L55" s="18" t="s">
        <v>670</v>
      </c>
    </row>
    <row r="56" spans="1:12" x14ac:dyDescent="0.2">
      <c r="A56" t="s">
        <v>805</v>
      </c>
      <c r="B56" s="47" t="s">
        <v>556</v>
      </c>
      <c r="C56" s="16" t="s">
        <v>193</v>
      </c>
      <c r="D56" s="28" t="s">
        <v>383</v>
      </c>
      <c r="E56" s="16" t="s">
        <v>387</v>
      </c>
      <c r="F56" s="16" t="s">
        <v>195</v>
      </c>
      <c r="G56" s="16" t="s">
        <v>384</v>
      </c>
      <c r="H56" s="23" t="s">
        <v>321</v>
      </c>
      <c r="I56" s="18" t="s">
        <v>291</v>
      </c>
      <c r="J56" s="18" t="s">
        <v>494</v>
      </c>
      <c r="K56" s="18" t="s">
        <v>679</v>
      </c>
      <c r="L56" s="18" t="s">
        <v>792</v>
      </c>
    </row>
    <row r="57" spans="1:12" ht="28.5" x14ac:dyDescent="0.2">
      <c r="A57" t="s">
        <v>805</v>
      </c>
      <c r="B57" s="47" t="s">
        <v>53</v>
      </c>
      <c r="C57" s="16" t="s">
        <v>250</v>
      </c>
      <c r="D57" s="28" t="s">
        <v>251</v>
      </c>
      <c r="E57" s="16" t="s">
        <v>387</v>
      </c>
      <c r="F57" s="16" t="s">
        <v>252</v>
      </c>
      <c r="G57" s="16" t="s">
        <v>438</v>
      </c>
      <c r="H57" s="23" t="s">
        <v>321</v>
      </c>
      <c r="I57" s="18" t="s">
        <v>319</v>
      </c>
      <c r="J57" s="18" t="s">
        <v>528</v>
      </c>
      <c r="K57" s="18" t="s">
        <v>695</v>
      </c>
      <c r="L57" s="18" t="s">
        <v>788</v>
      </c>
    </row>
    <row r="58" spans="1:12" x14ac:dyDescent="0.2">
      <c r="A58" t="s">
        <v>805</v>
      </c>
      <c r="B58" s="47" t="s">
        <v>564</v>
      </c>
      <c r="C58" s="16" t="s">
        <v>184</v>
      </c>
      <c r="D58" s="28" t="s">
        <v>185</v>
      </c>
      <c r="E58" s="16" t="s">
        <v>387</v>
      </c>
      <c r="F58" s="16" t="s">
        <v>186</v>
      </c>
      <c r="G58" s="16" t="s">
        <v>379</v>
      </c>
      <c r="H58" s="23" t="s">
        <v>321</v>
      </c>
      <c r="I58" s="18" t="s">
        <v>287</v>
      </c>
      <c r="J58" s="18" t="s">
        <v>490</v>
      </c>
      <c r="K58" s="18" t="s">
        <v>677</v>
      </c>
      <c r="L58" s="18" t="s">
        <v>782</v>
      </c>
    </row>
    <row r="59" spans="1:12" x14ac:dyDescent="0.2">
      <c r="A59" t="s">
        <v>805</v>
      </c>
      <c r="B59" s="47" t="s">
        <v>570</v>
      </c>
      <c r="C59" s="16" t="s">
        <v>420</v>
      </c>
      <c r="D59" s="28" t="s">
        <v>421</v>
      </c>
      <c r="E59" s="16" t="s">
        <v>387</v>
      </c>
      <c r="F59" s="16" t="s">
        <v>422</v>
      </c>
      <c r="G59" s="16" t="s">
        <v>423</v>
      </c>
      <c r="H59" s="23" t="s">
        <v>321</v>
      </c>
      <c r="I59" s="18" t="s">
        <v>451</v>
      </c>
      <c r="J59" s="18" t="s">
        <v>516</v>
      </c>
      <c r="K59" s="18" t="s">
        <v>685</v>
      </c>
      <c r="L59" s="18" t="s">
        <v>776</v>
      </c>
    </row>
    <row r="60" spans="1:12" x14ac:dyDescent="0.2">
      <c r="A60" t="s">
        <v>805</v>
      </c>
      <c r="B60" s="47" t="s">
        <v>573</v>
      </c>
      <c r="C60" s="16" t="s">
        <v>392</v>
      </c>
      <c r="D60" s="28" t="s">
        <v>393</v>
      </c>
      <c r="E60" s="16" t="s">
        <v>387</v>
      </c>
      <c r="F60" s="16" t="s">
        <v>394</v>
      </c>
      <c r="G60" s="16" t="s">
        <v>395</v>
      </c>
      <c r="H60" s="23" t="s">
        <v>321</v>
      </c>
      <c r="I60" s="18" t="s">
        <v>447</v>
      </c>
      <c r="J60" s="18" t="s">
        <v>498</v>
      </c>
      <c r="K60" s="18" t="s">
        <v>681</v>
      </c>
      <c r="L60" s="18" t="s">
        <v>778</v>
      </c>
    </row>
    <row r="61" spans="1:12" x14ac:dyDescent="0.2">
      <c r="A61" t="s">
        <v>805</v>
      </c>
      <c r="B61" s="47" t="s">
        <v>580</v>
      </c>
      <c r="C61" s="16" t="s">
        <v>117</v>
      </c>
      <c r="D61" s="28" t="s">
        <v>118</v>
      </c>
      <c r="E61" s="16" t="s">
        <v>387</v>
      </c>
      <c r="F61" s="16" t="s">
        <v>119</v>
      </c>
      <c r="G61" s="16" t="s">
        <v>329</v>
      </c>
      <c r="H61" s="23" t="s">
        <v>321</v>
      </c>
      <c r="I61" s="18" t="s">
        <v>258</v>
      </c>
      <c r="J61" s="18" t="s">
        <v>454</v>
      </c>
      <c r="K61" s="18" t="s">
        <v>671</v>
      </c>
      <c r="L61" s="18" t="s">
        <v>780</v>
      </c>
    </row>
    <row r="62" spans="1:12" x14ac:dyDescent="0.2">
      <c r="A62" t="s">
        <v>805</v>
      </c>
      <c r="B62" s="47" t="s">
        <v>581</v>
      </c>
      <c r="C62" s="16" t="s">
        <v>167</v>
      </c>
      <c r="D62" s="28" t="s">
        <v>168</v>
      </c>
      <c r="E62" s="16" t="s">
        <v>387</v>
      </c>
      <c r="F62" s="16" t="s">
        <v>169</v>
      </c>
      <c r="G62" s="16" t="s">
        <v>371</v>
      </c>
      <c r="H62" s="23" t="s">
        <v>321</v>
      </c>
      <c r="I62" s="18" t="s">
        <v>279</v>
      </c>
      <c r="J62" s="18" t="s">
        <v>482</v>
      </c>
      <c r="K62" s="18" t="s">
        <v>675</v>
      </c>
      <c r="L62" s="18" t="s">
        <v>794</v>
      </c>
    </row>
    <row r="63" spans="1:12" x14ac:dyDescent="0.2">
      <c r="A63" t="s">
        <v>805</v>
      </c>
      <c r="B63" s="47" t="s">
        <v>594</v>
      </c>
      <c r="C63" s="16" t="s">
        <v>238</v>
      </c>
      <c r="D63" s="28" t="s">
        <v>194</v>
      </c>
      <c r="E63" s="16" t="s">
        <v>387</v>
      </c>
      <c r="F63" s="16" t="s">
        <v>239</v>
      </c>
      <c r="G63" s="16" t="s">
        <v>429</v>
      </c>
      <c r="H63" s="23" t="s">
        <v>321</v>
      </c>
      <c r="I63" s="18" t="s">
        <v>313</v>
      </c>
      <c r="J63" s="18" t="s">
        <v>521</v>
      </c>
      <c r="K63" s="18" t="s">
        <v>689</v>
      </c>
      <c r="L63" s="18" t="s">
        <v>784</v>
      </c>
    </row>
    <row r="64" spans="1:12" x14ac:dyDescent="0.2">
      <c r="A64" t="s">
        <v>805</v>
      </c>
      <c r="B64" s="47" t="s">
        <v>79</v>
      </c>
      <c r="C64" s="16" t="s">
        <v>343</v>
      </c>
      <c r="D64" s="28" t="s">
        <v>194</v>
      </c>
      <c r="E64" s="16" t="s">
        <v>387</v>
      </c>
      <c r="F64" s="16" t="s">
        <v>344</v>
      </c>
      <c r="G64" s="16" t="s">
        <v>345</v>
      </c>
      <c r="H64" s="23" t="s">
        <v>321</v>
      </c>
      <c r="I64" s="18" t="s">
        <v>440</v>
      </c>
      <c r="J64" s="18" t="s">
        <v>466</v>
      </c>
      <c r="K64" s="18" t="s">
        <v>697</v>
      </c>
      <c r="L64" s="18" t="s">
        <v>786</v>
      </c>
    </row>
    <row r="65" spans="1:12" x14ac:dyDescent="0.2">
      <c r="A65" t="s">
        <v>805</v>
      </c>
      <c r="B65" s="47" t="s">
        <v>607</v>
      </c>
      <c r="C65" s="16" t="s">
        <v>240</v>
      </c>
      <c r="D65" s="28" t="s">
        <v>161</v>
      </c>
      <c r="E65" s="16" t="s">
        <v>387</v>
      </c>
      <c r="F65" s="16" t="s">
        <v>241</v>
      </c>
      <c r="G65" s="16" t="s">
        <v>430</v>
      </c>
      <c r="H65" s="23" t="s">
        <v>321</v>
      </c>
      <c r="I65" s="18" t="s">
        <v>314</v>
      </c>
      <c r="J65" s="18" t="s">
        <v>522</v>
      </c>
      <c r="K65" s="18" t="s">
        <v>691</v>
      </c>
      <c r="L65" s="18" t="s">
        <v>672</v>
      </c>
    </row>
    <row r="66" spans="1:12" x14ac:dyDescent="0.2">
      <c r="A66" t="s">
        <v>805</v>
      </c>
      <c r="B66" s="47" t="s">
        <v>552</v>
      </c>
      <c r="C66" s="16" t="s">
        <v>228</v>
      </c>
      <c r="D66" s="28" t="s">
        <v>141</v>
      </c>
      <c r="E66" s="16" t="s">
        <v>637</v>
      </c>
      <c r="F66" s="16" t="s">
        <v>229</v>
      </c>
      <c r="G66" s="16" t="s">
        <v>419</v>
      </c>
      <c r="H66" s="23" t="s">
        <v>253</v>
      </c>
      <c r="I66" s="18" t="s">
        <v>308</v>
      </c>
      <c r="J66" s="18" t="s">
        <v>515</v>
      </c>
      <c r="K66" s="18" t="s">
        <v>665</v>
      </c>
      <c r="L66" s="18" t="s">
        <v>642</v>
      </c>
    </row>
    <row r="67" spans="1:12" x14ac:dyDescent="0.2">
      <c r="A67" t="s">
        <v>805</v>
      </c>
      <c r="B67" s="47" t="s">
        <v>554</v>
      </c>
      <c r="C67" s="16" t="s">
        <v>210</v>
      </c>
      <c r="D67" s="28" t="s">
        <v>141</v>
      </c>
      <c r="E67" s="16" t="s">
        <v>637</v>
      </c>
      <c r="F67" s="16" t="s">
        <v>211</v>
      </c>
      <c r="G67" s="16" t="s">
        <v>404</v>
      </c>
      <c r="H67" s="23" t="s">
        <v>253</v>
      </c>
      <c r="I67" s="18" t="s">
        <v>299</v>
      </c>
      <c r="J67" s="18" t="s">
        <v>504</v>
      </c>
      <c r="K67" s="18" t="s">
        <v>659</v>
      </c>
      <c r="L67" s="18" t="s">
        <v>644</v>
      </c>
    </row>
    <row r="68" spans="1:12" x14ac:dyDescent="0.2">
      <c r="A68" t="s">
        <v>805</v>
      </c>
      <c r="B68" s="47" t="s">
        <v>560</v>
      </c>
      <c r="C68" s="16" t="s">
        <v>157</v>
      </c>
      <c r="D68" s="28" t="s">
        <v>141</v>
      </c>
      <c r="E68" s="16" t="s">
        <v>637</v>
      </c>
      <c r="F68" s="16" t="s">
        <v>158</v>
      </c>
      <c r="G68" s="16" t="s">
        <v>355</v>
      </c>
      <c r="H68" s="23" t="s">
        <v>253</v>
      </c>
      <c r="I68" s="18" t="s">
        <v>275</v>
      </c>
      <c r="J68" s="18" t="s">
        <v>474</v>
      </c>
      <c r="K68" s="18" t="s">
        <v>647</v>
      </c>
      <c r="L68" s="18" t="s">
        <v>646</v>
      </c>
    </row>
    <row r="69" spans="1:12" x14ac:dyDescent="0.2">
      <c r="A69" t="s">
        <v>805</v>
      </c>
      <c r="B69" s="47" t="s">
        <v>562</v>
      </c>
      <c r="C69" s="16" t="s">
        <v>196</v>
      </c>
      <c r="D69" s="28" t="s">
        <v>141</v>
      </c>
      <c r="E69" s="16" t="s">
        <v>637</v>
      </c>
      <c r="F69" s="16" t="s">
        <v>197</v>
      </c>
      <c r="G69" s="16" t="s">
        <v>385</v>
      </c>
      <c r="H69" s="23" t="s">
        <v>253</v>
      </c>
      <c r="I69" s="18" t="s">
        <v>292</v>
      </c>
      <c r="J69" s="18" t="s">
        <v>495</v>
      </c>
      <c r="K69" s="18" t="s">
        <v>651</v>
      </c>
      <c r="L69" s="18" t="s">
        <v>648</v>
      </c>
    </row>
    <row r="70" spans="1:12" x14ac:dyDescent="0.2">
      <c r="A70" t="s">
        <v>805</v>
      </c>
      <c r="B70" s="47" t="s">
        <v>565</v>
      </c>
      <c r="C70" s="16" t="s">
        <v>350</v>
      </c>
      <c r="D70" s="28" t="s">
        <v>141</v>
      </c>
      <c r="E70" s="16" t="s">
        <v>637</v>
      </c>
      <c r="F70" s="16" t="s">
        <v>351</v>
      </c>
      <c r="G70" s="16" t="s">
        <v>352</v>
      </c>
      <c r="H70" s="23" t="s">
        <v>253</v>
      </c>
      <c r="I70" s="18" t="s">
        <v>441</v>
      </c>
      <c r="J70" s="18" t="s">
        <v>471</v>
      </c>
      <c r="K70" s="18" t="s">
        <v>643</v>
      </c>
      <c r="L70" s="18" t="s">
        <v>650</v>
      </c>
    </row>
    <row r="71" spans="1:12" x14ac:dyDescent="0.2">
      <c r="A71" t="s">
        <v>805</v>
      </c>
      <c r="B71" s="47" t="s">
        <v>83</v>
      </c>
      <c r="C71" s="16" t="s">
        <v>248</v>
      </c>
      <c r="D71" s="28" t="s">
        <v>141</v>
      </c>
      <c r="E71" s="16" t="s">
        <v>637</v>
      </c>
      <c r="F71" s="16" t="s">
        <v>249</v>
      </c>
      <c r="G71" s="16" t="s">
        <v>437</v>
      </c>
      <c r="H71" s="23" t="s">
        <v>253</v>
      </c>
      <c r="I71" s="18" t="s">
        <v>318</v>
      </c>
      <c r="J71" s="18" t="s">
        <v>527</v>
      </c>
      <c r="K71" s="18" t="s">
        <v>669</v>
      </c>
      <c r="L71" s="18" t="s">
        <v>652</v>
      </c>
    </row>
    <row r="72" spans="1:12" x14ac:dyDescent="0.2">
      <c r="A72" t="s">
        <v>805</v>
      </c>
      <c r="B72" s="47" t="s">
        <v>578</v>
      </c>
      <c r="C72" s="16" t="s">
        <v>236</v>
      </c>
      <c r="D72" s="28" t="s">
        <v>141</v>
      </c>
      <c r="E72" s="16" t="s">
        <v>637</v>
      </c>
      <c r="F72" s="16" t="s">
        <v>237</v>
      </c>
      <c r="G72" s="16" t="s">
        <v>428</v>
      </c>
      <c r="H72" s="23" t="s">
        <v>253</v>
      </c>
      <c r="I72" s="18" t="s">
        <v>312</v>
      </c>
      <c r="J72" s="18" t="s">
        <v>520</v>
      </c>
      <c r="K72" s="18" t="s">
        <v>667</v>
      </c>
      <c r="L72" s="18" t="s">
        <v>654</v>
      </c>
    </row>
    <row r="73" spans="1:12" x14ac:dyDescent="0.2">
      <c r="A73" t="s">
        <v>805</v>
      </c>
      <c r="B73" s="47" t="s">
        <v>77</v>
      </c>
      <c r="C73" s="16" t="s">
        <v>204</v>
      </c>
      <c r="D73" s="28" t="s">
        <v>141</v>
      </c>
      <c r="E73" s="16" t="s">
        <v>637</v>
      </c>
      <c r="F73" s="16" t="s">
        <v>205</v>
      </c>
      <c r="G73" s="16" t="s">
        <v>401</v>
      </c>
      <c r="H73" s="23" t="s">
        <v>253</v>
      </c>
      <c r="I73" s="18" t="s">
        <v>296</v>
      </c>
      <c r="J73" s="18" t="s">
        <v>501</v>
      </c>
      <c r="K73" s="18" t="s">
        <v>657</v>
      </c>
      <c r="L73" s="18" t="s">
        <v>656</v>
      </c>
    </row>
    <row r="74" spans="1:12" ht="28.5" x14ac:dyDescent="0.2">
      <c r="A74" t="s">
        <v>805</v>
      </c>
      <c r="B74" s="47" t="s">
        <v>92</v>
      </c>
      <c r="C74" s="16" t="s">
        <v>200</v>
      </c>
      <c r="D74" s="28" t="s">
        <v>141</v>
      </c>
      <c r="E74" s="16" t="s">
        <v>637</v>
      </c>
      <c r="F74" s="16" t="s">
        <v>201</v>
      </c>
      <c r="G74" s="16" t="s">
        <v>391</v>
      </c>
      <c r="H74" s="23" t="s">
        <v>253</v>
      </c>
      <c r="I74" s="18" t="s">
        <v>294</v>
      </c>
      <c r="J74" s="18" t="s">
        <v>497</v>
      </c>
      <c r="K74" s="18" t="s">
        <v>655</v>
      </c>
      <c r="L74" s="18" t="s">
        <v>658</v>
      </c>
    </row>
    <row r="75" spans="1:12" x14ac:dyDescent="0.2">
      <c r="A75" t="s">
        <v>805</v>
      </c>
      <c r="B75" s="47" t="s">
        <v>591</v>
      </c>
      <c r="C75" s="16" t="s">
        <v>140</v>
      </c>
      <c r="D75" s="46" t="s">
        <v>141</v>
      </c>
      <c r="E75" s="47" t="s">
        <v>637</v>
      </c>
      <c r="F75" s="16" t="s">
        <v>142</v>
      </c>
      <c r="G75" s="16" t="s">
        <v>342</v>
      </c>
      <c r="H75" s="23" t="s">
        <v>253</v>
      </c>
      <c r="I75" s="18" t="s">
        <v>268</v>
      </c>
      <c r="J75" s="18" t="s">
        <v>465</v>
      </c>
      <c r="K75" s="18" t="s">
        <v>641</v>
      </c>
      <c r="L75" s="18" t="s">
        <v>660</v>
      </c>
    </row>
    <row r="76" spans="1:12" x14ac:dyDescent="0.2">
      <c r="A76" t="s">
        <v>805</v>
      </c>
      <c r="B76" s="47" t="s">
        <v>599</v>
      </c>
      <c r="C76" s="16" t="s">
        <v>218</v>
      </c>
      <c r="D76" s="28" t="s">
        <v>141</v>
      </c>
      <c r="E76" s="16" t="s">
        <v>637</v>
      </c>
      <c r="F76" s="16" t="s">
        <v>219</v>
      </c>
      <c r="G76" s="16" t="s">
        <v>411</v>
      </c>
      <c r="H76" s="23" t="s">
        <v>253</v>
      </c>
      <c r="I76" s="18" t="s">
        <v>303</v>
      </c>
      <c r="J76" s="18" t="s">
        <v>509</v>
      </c>
      <c r="K76" s="18" t="s">
        <v>661</v>
      </c>
      <c r="L76" s="18" t="s">
        <v>662</v>
      </c>
    </row>
    <row r="77" spans="1:12" x14ac:dyDescent="0.2">
      <c r="A77" t="s">
        <v>805</v>
      </c>
      <c r="B77" s="47" t="s">
        <v>603</v>
      </c>
      <c r="C77" s="16" t="s">
        <v>386</v>
      </c>
      <c r="D77" s="28" t="s">
        <v>141</v>
      </c>
      <c r="E77" s="16" t="s">
        <v>637</v>
      </c>
      <c r="F77" s="16" t="s">
        <v>388</v>
      </c>
      <c r="G77" s="16" t="s">
        <v>389</v>
      </c>
      <c r="H77" s="23" t="s">
        <v>253</v>
      </c>
      <c r="I77" s="18" t="s">
        <v>446</v>
      </c>
      <c r="J77" s="18" t="s">
        <v>453</v>
      </c>
      <c r="K77" s="18" t="s">
        <v>653</v>
      </c>
      <c r="L77" s="18" t="s">
        <v>664</v>
      </c>
    </row>
    <row r="78" spans="1:12" x14ac:dyDescent="0.2">
      <c r="A78" t="s">
        <v>805</v>
      </c>
      <c r="B78" s="47" t="s">
        <v>606</v>
      </c>
      <c r="C78" s="16" t="s">
        <v>414</v>
      </c>
      <c r="D78" s="28" t="s">
        <v>141</v>
      </c>
      <c r="E78" s="16" t="s">
        <v>637</v>
      </c>
      <c r="F78" s="16" t="s">
        <v>415</v>
      </c>
      <c r="G78" s="16" t="s">
        <v>416</v>
      </c>
      <c r="H78" s="23" t="s">
        <v>253</v>
      </c>
      <c r="I78" s="18" t="s">
        <v>450</v>
      </c>
      <c r="J78" s="18" t="s">
        <v>512</v>
      </c>
      <c r="K78" s="18" t="s">
        <v>663</v>
      </c>
      <c r="L78" s="18" t="s">
        <v>666</v>
      </c>
    </row>
    <row r="79" spans="1:12" x14ac:dyDescent="0.2">
      <c r="A79" t="s">
        <v>805</v>
      </c>
      <c r="B79" s="47" t="s">
        <v>44</v>
      </c>
      <c r="C79" s="16" t="s">
        <v>187</v>
      </c>
      <c r="D79" s="28" t="s">
        <v>141</v>
      </c>
      <c r="E79" s="16" t="s">
        <v>637</v>
      </c>
      <c r="F79" s="16" t="s">
        <v>188</v>
      </c>
      <c r="G79" s="16" t="s">
        <v>380</v>
      </c>
      <c r="H79" s="23" t="s">
        <v>253</v>
      </c>
      <c r="I79" s="18" t="s">
        <v>288</v>
      </c>
      <c r="J79" s="18" t="s">
        <v>491</v>
      </c>
      <c r="K79" s="18" t="s">
        <v>649</v>
      </c>
      <c r="L79" s="18" t="s">
        <v>668</v>
      </c>
    </row>
    <row r="80" spans="1:12" x14ac:dyDescent="0.2">
      <c r="A80" t="s">
        <v>806</v>
      </c>
      <c r="B80" s="47" t="s">
        <v>577</v>
      </c>
      <c r="C80" s="16" t="s">
        <v>406</v>
      </c>
      <c r="D80" s="28" t="s">
        <v>144</v>
      </c>
      <c r="E80" s="16" t="s">
        <v>115</v>
      </c>
      <c r="F80" s="16" t="s">
        <v>407</v>
      </c>
      <c r="G80" s="16" t="s">
        <v>408</v>
      </c>
      <c r="H80" s="23" t="s">
        <v>320</v>
      </c>
      <c r="I80" s="18" t="s">
        <v>449</v>
      </c>
      <c r="J80" s="18" t="s">
        <v>506</v>
      </c>
      <c r="K80" s="18" t="s">
        <v>773</v>
      </c>
      <c r="L80" s="18" t="s">
        <v>766</v>
      </c>
    </row>
    <row r="81" spans="1:12" x14ac:dyDescent="0.2">
      <c r="A81" t="s">
        <v>806</v>
      </c>
      <c r="B81" s="47" t="s">
        <v>30</v>
      </c>
      <c r="C81" s="16" t="s">
        <v>136</v>
      </c>
      <c r="D81" s="28" t="s">
        <v>114</v>
      </c>
      <c r="E81" s="16" t="s">
        <v>115</v>
      </c>
      <c r="F81" s="16" t="s">
        <v>137</v>
      </c>
      <c r="G81" s="16" t="s">
        <v>340</v>
      </c>
      <c r="H81" s="23" t="s">
        <v>320</v>
      </c>
      <c r="I81" s="18" t="s">
        <v>266</v>
      </c>
      <c r="J81" s="18" t="s">
        <v>463</v>
      </c>
      <c r="K81" s="18" t="s">
        <v>715</v>
      </c>
      <c r="L81" s="18" t="s">
        <v>726</v>
      </c>
    </row>
    <row r="82" spans="1:12" x14ac:dyDescent="0.2">
      <c r="A82" t="s">
        <v>806</v>
      </c>
      <c r="B82" s="47" t="s">
        <v>24</v>
      </c>
      <c r="C82" s="16" t="s">
        <v>244</v>
      </c>
      <c r="D82" s="28" t="s">
        <v>128</v>
      </c>
      <c r="E82" s="16" t="s">
        <v>387</v>
      </c>
      <c r="F82" s="16" t="s">
        <v>245</v>
      </c>
      <c r="G82" s="16" t="s">
        <v>435</v>
      </c>
      <c r="H82" s="23" t="s">
        <v>321</v>
      </c>
      <c r="I82" s="18" t="s">
        <v>316</v>
      </c>
      <c r="J82" s="18" t="s">
        <v>525</v>
      </c>
      <c r="K82" s="18" t="s">
        <v>693</v>
      </c>
      <c r="L82" s="18" t="s">
        <v>676</v>
      </c>
    </row>
    <row r="83" spans="1:12" x14ac:dyDescent="0.2">
      <c r="A83" t="s">
        <v>806</v>
      </c>
      <c r="B83" s="47" t="s">
        <v>576</v>
      </c>
      <c r="C83" s="16" t="s">
        <v>234</v>
      </c>
      <c r="D83" s="28" t="s">
        <v>426</v>
      </c>
      <c r="E83" s="16" t="s">
        <v>387</v>
      </c>
      <c r="F83" s="16" t="s">
        <v>235</v>
      </c>
      <c r="G83" s="16" t="s">
        <v>427</v>
      </c>
      <c r="H83" s="23" t="s">
        <v>321</v>
      </c>
      <c r="I83" s="18" t="s">
        <v>311</v>
      </c>
      <c r="J83" s="18" t="s">
        <v>519</v>
      </c>
      <c r="K83" s="18" t="s">
        <v>687</v>
      </c>
      <c r="L83" s="18" t="s">
        <v>790</v>
      </c>
    </row>
    <row r="84" spans="1:12" x14ac:dyDescent="0.2">
      <c r="A84" t="s">
        <v>806</v>
      </c>
      <c r="B84" s="47" t="s">
        <v>91</v>
      </c>
      <c r="C84" s="16" t="s">
        <v>154</v>
      </c>
      <c r="D84" s="28" t="s">
        <v>155</v>
      </c>
      <c r="E84" s="16" t="s">
        <v>637</v>
      </c>
      <c r="F84" s="16" t="s">
        <v>156</v>
      </c>
      <c r="G84" s="16" t="s">
        <v>354</v>
      </c>
      <c r="H84" s="23" t="s">
        <v>253</v>
      </c>
      <c r="I84" s="18" t="s">
        <v>274</v>
      </c>
      <c r="J84" s="18" t="s">
        <v>473</v>
      </c>
      <c r="K84" s="18" t="s">
        <v>645</v>
      </c>
      <c r="L84" s="18" t="s">
        <v>678</v>
      </c>
    </row>
    <row r="85" spans="1:12" x14ac:dyDescent="0.2">
      <c r="G85" s="29"/>
    </row>
    <row r="86" spans="1:12" x14ac:dyDescent="0.2">
      <c r="G86" s="29"/>
    </row>
    <row r="87" spans="1:12" x14ac:dyDescent="0.2">
      <c r="G87" s="29"/>
    </row>
    <row r="88" spans="1:12" x14ac:dyDescent="0.2">
      <c r="G88" s="29"/>
    </row>
    <row r="89" spans="1:12" x14ac:dyDescent="0.2">
      <c r="G89" s="29"/>
    </row>
    <row r="90" spans="1:12" x14ac:dyDescent="0.2">
      <c r="G90" s="29"/>
    </row>
    <row r="91" spans="1:12" x14ac:dyDescent="0.2">
      <c r="G91" s="29"/>
    </row>
    <row r="92" spans="1:12" x14ac:dyDescent="0.2">
      <c r="G92" s="29"/>
    </row>
    <row r="93" spans="1:12" x14ac:dyDescent="0.2">
      <c r="G93" s="29"/>
    </row>
  </sheetData>
  <autoFilter ref="B7:K7">
    <sortState ref="B8:K84">
      <sortCondition ref="D7"/>
    </sortState>
  </autoFilter>
  <sortState ref="A8:L84">
    <sortCondition ref="A8:A84"/>
    <sortCondition ref="E8:E84"/>
    <sortCondition ref="B8:B84"/>
  </sortState>
  <mergeCells count="1">
    <mergeCell ref="C5:G6"/>
  </mergeCells>
  <conditionalFormatting sqref="B8:G84">
    <cfRule type="expression" dxfId="155" priority="2">
      <formula>$H8="T"</formula>
    </cfRule>
    <cfRule type="expression" dxfId="154" priority="3">
      <formula>$H8="TT"</formula>
    </cfRule>
    <cfRule type="expression" dxfId="153" priority="4">
      <formula>$H8="CF"</formula>
    </cfRule>
  </conditionalFormatting>
  <conditionalFormatting sqref="A8:L500">
    <cfRule type="expression" dxfId="152" priority="1">
      <formula>$A8="100-Leaving"</formula>
    </cfRule>
  </conditionalFormatting>
  <dataValidations count="1">
    <dataValidation type="list" allowBlank="1" showInputMessage="1" showErrorMessage="1" sqref="A8:A84">
      <formula1>$A$1:$A$2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61"/>
  <sheetViews>
    <sheetView workbookViewId="0">
      <selection activeCell="B13" sqref="B13"/>
    </sheetView>
  </sheetViews>
  <sheetFormatPr defaultColWidth="8.875" defaultRowHeight="14.25" x14ac:dyDescent="0.2"/>
  <cols>
    <col min="1" max="1" width="9.125" bestFit="1" customWidth="1"/>
    <col min="2" max="2" width="10.125" style="67" bestFit="1" customWidth="1"/>
    <col min="3" max="3" width="6.125" bestFit="1" customWidth="1"/>
    <col min="4" max="4" width="3.125" customWidth="1"/>
    <col min="5" max="5" width="9.125" bestFit="1" customWidth="1"/>
    <col min="6" max="6" width="14.125" style="66" bestFit="1" customWidth="1"/>
    <col min="7" max="7" width="9.625" bestFit="1" customWidth="1"/>
    <col min="9" max="9" width="14.375" bestFit="1" customWidth="1"/>
    <col min="18" max="18" width="15.125" bestFit="1" customWidth="1"/>
    <col min="19" max="19" width="1.375" bestFit="1" customWidth="1"/>
    <col min="20" max="20" width="13.625" bestFit="1" customWidth="1"/>
    <col min="21" max="21" width="15.625" bestFit="1" customWidth="1"/>
    <col min="22" max="22" width="16.125" bestFit="1" customWidth="1"/>
  </cols>
  <sheetData>
    <row r="1" spans="1:20" ht="15" x14ac:dyDescent="0.25">
      <c r="A1" s="171" t="s">
        <v>879</v>
      </c>
      <c r="B1" s="171"/>
      <c r="C1" s="171"/>
      <c r="R1" s="64" t="s">
        <v>985</v>
      </c>
    </row>
    <row r="2" spans="1:20" ht="15" x14ac:dyDescent="0.25">
      <c r="A2" s="65" t="s">
        <v>880</v>
      </c>
      <c r="B2" s="65" t="s">
        <v>881</v>
      </c>
      <c r="C2" s="65" t="s">
        <v>804</v>
      </c>
    </row>
    <row r="4" spans="1:20" x14ac:dyDescent="0.2">
      <c r="A4" s="172" t="s">
        <v>886</v>
      </c>
      <c r="B4" s="172"/>
      <c r="C4" s="172"/>
      <c r="D4" s="36"/>
      <c r="E4" s="172" t="s">
        <v>885</v>
      </c>
      <c r="F4" s="172"/>
      <c r="G4" s="172"/>
      <c r="R4" s="15" t="s">
        <v>986</v>
      </c>
      <c r="T4" t="s">
        <v>987</v>
      </c>
    </row>
    <row r="5" spans="1:20" x14ac:dyDescent="0.2">
      <c r="A5" s="170" t="s">
        <v>326</v>
      </c>
      <c r="B5" s="170"/>
      <c r="C5" s="170"/>
      <c r="D5" s="36"/>
      <c r="E5" s="170" t="s">
        <v>887</v>
      </c>
      <c r="F5" s="170"/>
      <c r="G5" s="170"/>
      <c r="R5" s="15" t="s">
        <v>323</v>
      </c>
      <c r="T5" t="s">
        <v>808</v>
      </c>
    </row>
    <row r="6" spans="1:20" ht="15" x14ac:dyDescent="0.25">
      <c r="A6" s="78" t="s">
        <v>814</v>
      </c>
      <c r="B6" s="68" t="s">
        <v>882</v>
      </c>
      <c r="C6" s="69"/>
      <c r="D6" s="36"/>
      <c r="E6" s="38" t="s">
        <v>814</v>
      </c>
      <c r="F6" s="39" t="s">
        <v>882</v>
      </c>
      <c r="G6" s="6"/>
      <c r="R6" s="15" t="s">
        <v>324</v>
      </c>
      <c r="T6" t="s">
        <v>809</v>
      </c>
    </row>
    <row r="7" spans="1:20" ht="15" x14ac:dyDescent="0.25">
      <c r="A7" s="78" t="s">
        <v>883</v>
      </c>
      <c r="B7" s="70"/>
      <c r="C7" s="69"/>
      <c r="D7" s="36"/>
      <c r="E7" s="38" t="s">
        <v>888</v>
      </c>
      <c r="F7" s="39"/>
      <c r="G7" s="6"/>
      <c r="R7" s="15" t="s">
        <v>325</v>
      </c>
      <c r="T7" t="s">
        <v>810</v>
      </c>
    </row>
    <row r="8" spans="1:20" ht="15" x14ac:dyDescent="0.25">
      <c r="A8" s="78" t="s">
        <v>884</v>
      </c>
      <c r="B8" s="70"/>
      <c r="C8" s="69"/>
      <c r="D8" s="36"/>
      <c r="E8" s="38" t="s">
        <v>889</v>
      </c>
      <c r="F8" s="39"/>
      <c r="G8" s="6"/>
      <c r="R8" s="15" t="s">
        <v>327</v>
      </c>
    </row>
    <row r="9" spans="1:20" ht="15" x14ac:dyDescent="0.25">
      <c r="A9" s="6"/>
      <c r="B9" s="70"/>
      <c r="C9" s="6"/>
      <c r="D9" s="36"/>
      <c r="E9" s="38" t="s">
        <v>890</v>
      </c>
      <c r="F9" s="39"/>
      <c r="G9" s="6"/>
      <c r="R9" s="15" t="s">
        <v>801</v>
      </c>
    </row>
    <row r="10" spans="1:20" x14ac:dyDescent="0.2">
      <c r="A10" s="74"/>
      <c r="B10" s="75"/>
      <c r="C10" s="74"/>
      <c r="D10" s="76"/>
      <c r="E10" s="74"/>
      <c r="F10" s="77"/>
      <c r="G10" s="74"/>
      <c r="R10" s="15" t="s">
        <v>807</v>
      </c>
    </row>
    <row r="11" spans="1:20" x14ac:dyDescent="0.2">
      <c r="A11" s="169" t="s">
        <v>1156</v>
      </c>
      <c r="B11" s="170"/>
      <c r="C11" s="170"/>
      <c r="D11" s="76"/>
      <c r="E11" s="74"/>
      <c r="F11" s="77"/>
      <c r="G11" s="74"/>
      <c r="R11" s="15" t="s">
        <v>806</v>
      </c>
    </row>
    <row r="12" spans="1:20" ht="15" x14ac:dyDescent="0.25">
      <c r="A12" s="78" t="s">
        <v>1157</v>
      </c>
      <c r="B12" s="68" t="s">
        <v>882</v>
      </c>
      <c r="C12" s="69"/>
      <c r="D12" s="72"/>
      <c r="E12" s="71"/>
      <c r="F12" s="73"/>
      <c r="G12" s="71"/>
    </row>
    <row r="13" spans="1:20" ht="15" x14ac:dyDescent="0.25">
      <c r="A13" s="78" t="s">
        <v>1158</v>
      </c>
      <c r="B13" s="70"/>
      <c r="C13" s="69"/>
      <c r="D13" s="36"/>
      <c r="E13" s="6"/>
      <c r="F13" s="39"/>
      <c r="G13" s="6"/>
    </row>
    <row r="14" spans="1:20" x14ac:dyDescent="0.2">
      <c r="A14" s="6"/>
      <c r="B14" s="70"/>
      <c r="C14" s="6"/>
      <c r="D14" s="36"/>
      <c r="E14" s="6"/>
      <c r="F14" s="39"/>
      <c r="G14" s="6"/>
    </row>
    <row r="15" spans="1:20" x14ac:dyDescent="0.2">
      <c r="A15" s="6"/>
      <c r="B15" s="70"/>
      <c r="C15" s="6"/>
      <c r="D15" s="36"/>
      <c r="E15" s="6"/>
      <c r="F15" s="39"/>
      <c r="G15" s="6"/>
      <c r="R15" t="s">
        <v>812</v>
      </c>
    </row>
    <row r="16" spans="1:20" x14ac:dyDescent="0.2">
      <c r="A16" s="6"/>
      <c r="B16" s="70"/>
      <c r="C16" s="6"/>
      <c r="D16" s="36"/>
      <c r="E16" s="6"/>
      <c r="F16" s="39"/>
      <c r="G16" s="6"/>
      <c r="R16" t="s">
        <v>813</v>
      </c>
    </row>
    <row r="17" spans="1:19" x14ac:dyDescent="0.2">
      <c r="A17" s="6"/>
      <c r="B17" s="70"/>
      <c r="C17" s="6"/>
      <c r="D17" s="36"/>
      <c r="E17" s="6"/>
      <c r="F17" s="39"/>
      <c r="G17" s="6"/>
      <c r="R17" t="s">
        <v>814</v>
      </c>
    </row>
    <row r="18" spans="1:19" x14ac:dyDescent="0.2">
      <c r="A18" s="6"/>
      <c r="B18" s="70"/>
      <c r="C18" s="6"/>
      <c r="D18" s="36"/>
      <c r="E18" s="6"/>
      <c r="F18" s="39"/>
      <c r="G18" s="6"/>
      <c r="S18" t="s">
        <v>896</v>
      </c>
    </row>
    <row r="19" spans="1:19" x14ac:dyDescent="0.2">
      <c r="A19" s="6"/>
      <c r="B19" s="70"/>
      <c r="C19" s="6"/>
      <c r="D19" s="36"/>
      <c r="E19" s="6"/>
      <c r="F19" s="39"/>
      <c r="G19" s="6"/>
      <c r="S19" t="s">
        <v>896</v>
      </c>
    </row>
    <row r="20" spans="1:19" x14ac:dyDescent="0.2">
      <c r="A20" s="6"/>
      <c r="B20" s="70"/>
      <c r="C20" s="6"/>
      <c r="D20" s="36"/>
      <c r="E20" s="6"/>
      <c r="F20" s="39"/>
      <c r="G20" s="6"/>
      <c r="S20" t="s">
        <v>896</v>
      </c>
    </row>
    <row r="21" spans="1:19" x14ac:dyDescent="0.2">
      <c r="A21" s="6"/>
      <c r="B21" s="70"/>
      <c r="C21" s="6"/>
      <c r="D21" s="36"/>
      <c r="E21" s="6"/>
      <c r="F21" s="39"/>
      <c r="G21" s="6"/>
      <c r="S21" t="s">
        <v>896</v>
      </c>
    </row>
    <row r="22" spans="1:19" x14ac:dyDescent="0.2">
      <c r="A22" s="6"/>
      <c r="B22" s="70"/>
      <c r="C22" s="6"/>
      <c r="D22" s="36"/>
      <c r="E22" s="6"/>
      <c r="F22" s="39"/>
      <c r="G22" s="6"/>
      <c r="S22" t="s">
        <v>896</v>
      </c>
    </row>
    <row r="23" spans="1:19" x14ac:dyDescent="0.2">
      <c r="A23" s="6"/>
      <c r="B23" s="70"/>
      <c r="C23" s="6"/>
      <c r="D23" s="36"/>
      <c r="E23" s="6"/>
      <c r="F23" s="39"/>
      <c r="G23" s="6"/>
      <c r="S23" t="s">
        <v>896</v>
      </c>
    </row>
    <row r="24" spans="1:19" x14ac:dyDescent="0.2">
      <c r="A24" s="6"/>
      <c r="B24" s="70"/>
      <c r="C24" s="6"/>
      <c r="D24" s="36"/>
      <c r="E24" s="6"/>
      <c r="F24" s="39"/>
      <c r="G24" s="6"/>
      <c r="S24" t="s">
        <v>896</v>
      </c>
    </row>
    <row r="25" spans="1:19" x14ac:dyDescent="0.2">
      <c r="A25" s="6"/>
      <c r="B25" s="70"/>
      <c r="C25" s="6"/>
      <c r="D25" s="36"/>
      <c r="E25" s="6"/>
      <c r="F25" s="39"/>
      <c r="G25" s="6"/>
      <c r="S25" t="s">
        <v>896</v>
      </c>
    </row>
    <row r="26" spans="1:19" x14ac:dyDescent="0.2">
      <c r="A26" s="6"/>
      <c r="B26" s="70"/>
      <c r="C26" s="6"/>
      <c r="D26" s="36"/>
      <c r="E26" s="6"/>
      <c r="F26" s="39"/>
      <c r="G26" s="6"/>
      <c r="S26" t="s">
        <v>896</v>
      </c>
    </row>
    <row r="27" spans="1:19" x14ac:dyDescent="0.2">
      <c r="A27" s="6"/>
      <c r="B27" s="70"/>
      <c r="C27" s="6"/>
      <c r="D27" s="36"/>
      <c r="E27" s="6"/>
      <c r="F27" s="39"/>
      <c r="G27" s="6"/>
      <c r="S27" t="s">
        <v>896</v>
      </c>
    </row>
    <row r="28" spans="1:19" x14ac:dyDescent="0.2">
      <c r="S28" t="s">
        <v>896</v>
      </c>
    </row>
    <row r="29" spans="1:19" x14ac:dyDescent="0.2">
      <c r="S29" t="s">
        <v>896</v>
      </c>
    </row>
    <row r="30" spans="1:19" x14ac:dyDescent="0.2">
      <c r="A30" s="66"/>
      <c r="B30"/>
      <c r="F30"/>
      <c r="N30" t="s">
        <v>896</v>
      </c>
    </row>
    <row r="31" spans="1:19" x14ac:dyDescent="0.2">
      <c r="A31" s="66"/>
      <c r="B31"/>
      <c r="F31"/>
      <c r="N31" t="s">
        <v>896</v>
      </c>
    </row>
    <row r="32" spans="1:19" x14ac:dyDescent="0.2">
      <c r="A32" s="66"/>
      <c r="B32"/>
      <c r="F32"/>
      <c r="N32" t="s">
        <v>896</v>
      </c>
    </row>
    <row r="33" spans="1:14" x14ac:dyDescent="0.2">
      <c r="A33" s="66"/>
      <c r="B33"/>
      <c r="F33"/>
      <c r="N33" t="s">
        <v>896</v>
      </c>
    </row>
    <row r="34" spans="1:14" x14ac:dyDescent="0.2">
      <c r="A34" s="66"/>
      <c r="B34"/>
      <c r="F34"/>
      <c r="N34" t="s">
        <v>896</v>
      </c>
    </row>
    <row r="35" spans="1:14" x14ac:dyDescent="0.2">
      <c r="A35" s="66"/>
      <c r="B35"/>
      <c r="F35"/>
      <c r="N35" t="s">
        <v>896</v>
      </c>
    </row>
    <row r="36" spans="1:14" x14ac:dyDescent="0.2">
      <c r="A36" s="66"/>
      <c r="B36"/>
      <c r="F36"/>
      <c r="N36" t="s">
        <v>896</v>
      </c>
    </row>
    <row r="37" spans="1:14" x14ac:dyDescent="0.2">
      <c r="A37" s="66"/>
      <c r="B37"/>
      <c r="F37"/>
      <c r="N37" t="s">
        <v>896</v>
      </c>
    </row>
    <row r="38" spans="1:14" x14ac:dyDescent="0.2">
      <c r="A38" s="66"/>
      <c r="B38"/>
      <c r="F38"/>
      <c r="N38" t="s">
        <v>896</v>
      </c>
    </row>
    <row r="39" spans="1:14" x14ac:dyDescent="0.2">
      <c r="A39" s="66"/>
      <c r="B39"/>
      <c r="F39"/>
      <c r="N39" t="s">
        <v>896</v>
      </c>
    </row>
    <row r="40" spans="1:14" x14ac:dyDescent="0.2">
      <c r="A40" s="66"/>
      <c r="B40"/>
      <c r="F40"/>
      <c r="N40" t="s">
        <v>896</v>
      </c>
    </row>
    <row r="41" spans="1:14" x14ac:dyDescent="0.2">
      <c r="A41" s="66"/>
      <c r="B41"/>
      <c r="F41"/>
      <c r="N41" t="s">
        <v>896</v>
      </c>
    </row>
    <row r="42" spans="1:14" x14ac:dyDescent="0.2">
      <c r="A42" s="66"/>
      <c r="B42"/>
      <c r="F42"/>
      <c r="N42" t="s">
        <v>896</v>
      </c>
    </row>
    <row r="43" spans="1:14" x14ac:dyDescent="0.2">
      <c r="A43" s="66"/>
      <c r="B43"/>
      <c r="F43"/>
      <c r="N43" t="s">
        <v>896</v>
      </c>
    </row>
    <row r="44" spans="1:14" x14ac:dyDescent="0.2">
      <c r="A44" s="66"/>
      <c r="B44"/>
      <c r="F44"/>
      <c r="N44" t="s">
        <v>896</v>
      </c>
    </row>
    <row r="45" spans="1:14" x14ac:dyDescent="0.2">
      <c r="A45" s="66"/>
      <c r="B45"/>
      <c r="F45"/>
      <c r="N45" t="s">
        <v>896</v>
      </c>
    </row>
    <row r="46" spans="1:14" x14ac:dyDescent="0.2">
      <c r="A46" s="66"/>
      <c r="B46"/>
      <c r="F46"/>
      <c r="N46" t="s">
        <v>896</v>
      </c>
    </row>
    <row r="47" spans="1:14" x14ac:dyDescent="0.2">
      <c r="A47" s="66"/>
      <c r="B47"/>
      <c r="F47"/>
      <c r="N47" t="s">
        <v>896</v>
      </c>
    </row>
    <row r="48" spans="1:14" x14ac:dyDescent="0.2">
      <c r="A48" s="66"/>
      <c r="B48"/>
      <c r="F48"/>
      <c r="N48" t="s">
        <v>896</v>
      </c>
    </row>
    <row r="49" spans="1:14" x14ac:dyDescent="0.2">
      <c r="A49" s="66"/>
      <c r="B49"/>
      <c r="F49"/>
      <c r="N49" t="s">
        <v>896</v>
      </c>
    </row>
    <row r="50" spans="1:14" x14ac:dyDescent="0.2">
      <c r="A50" s="66"/>
      <c r="B50"/>
      <c r="F50"/>
      <c r="N50" t="s">
        <v>896</v>
      </c>
    </row>
    <row r="51" spans="1:14" x14ac:dyDescent="0.2">
      <c r="A51" s="66"/>
      <c r="B51"/>
      <c r="F51"/>
      <c r="N51" t="s">
        <v>896</v>
      </c>
    </row>
    <row r="52" spans="1:14" x14ac:dyDescent="0.2">
      <c r="A52" s="66"/>
      <c r="B52"/>
      <c r="F52"/>
      <c r="N52" t="s">
        <v>896</v>
      </c>
    </row>
    <row r="53" spans="1:14" x14ac:dyDescent="0.2">
      <c r="A53" s="66"/>
      <c r="B53"/>
      <c r="F53"/>
      <c r="N53" t="s">
        <v>896</v>
      </c>
    </row>
    <row r="54" spans="1:14" x14ac:dyDescent="0.2">
      <c r="A54" s="66"/>
      <c r="B54"/>
      <c r="F54"/>
      <c r="N54" t="s">
        <v>896</v>
      </c>
    </row>
    <row r="55" spans="1:14" x14ac:dyDescent="0.2">
      <c r="A55" s="66"/>
      <c r="B55"/>
      <c r="F55"/>
    </row>
    <row r="56" spans="1:14" x14ac:dyDescent="0.2">
      <c r="A56" s="66"/>
      <c r="B56"/>
      <c r="F56"/>
    </row>
    <row r="57" spans="1:14" x14ac:dyDescent="0.2">
      <c r="A57" s="66"/>
      <c r="B57"/>
      <c r="F57"/>
    </row>
    <row r="58" spans="1:14" x14ac:dyDescent="0.2">
      <c r="A58" s="66"/>
      <c r="B58"/>
      <c r="F58"/>
    </row>
    <row r="59" spans="1:14" x14ac:dyDescent="0.2">
      <c r="A59" s="66"/>
      <c r="B59"/>
      <c r="F59"/>
    </row>
    <row r="60" spans="1:14" x14ac:dyDescent="0.2">
      <c r="A60" s="66"/>
      <c r="B60"/>
      <c r="F60"/>
    </row>
    <row r="61" spans="1:14" x14ac:dyDescent="0.2">
      <c r="A61" s="66"/>
      <c r="B61"/>
      <c r="F61"/>
    </row>
  </sheetData>
  <mergeCells count="6">
    <mergeCell ref="A11:C11"/>
    <mergeCell ref="A1:C1"/>
    <mergeCell ref="A4:C4"/>
    <mergeCell ref="E4:G4"/>
    <mergeCell ref="A5:C5"/>
    <mergeCell ref="E5:G5"/>
  </mergeCells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17"/>
  <sheetViews>
    <sheetView zoomScale="80" zoomScaleNormal="80" workbookViewId="0">
      <selection activeCell="J12" sqref="J12"/>
    </sheetView>
  </sheetViews>
  <sheetFormatPr defaultColWidth="1.125" defaultRowHeight="15" customHeight="1" x14ac:dyDescent="0.2"/>
  <cols>
    <col min="1" max="1" width="13.875" bestFit="1" customWidth="1"/>
    <col min="2" max="2" width="54.625" bestFit="1" customWidth="1"/>
    <col min="3" max="3" width="24.25" bestFit="1" customWidth="1"/>
    <col min="4" max="4" width="13.375" bestFit="1" customWidth="1"/>
    <col min="5" max="5" width="16.25" hidden="1" customWidth="1"/>
    <col min="6" max="7" width="20.625" hidden="1" customWidth="1"/>
    <col min="8" max="8" width="25.75" hidden="1" customWidth="1"/>
    <col min="9" max="9" width="21.875" hidden="1" customWidth="1"/>
    <col min="10" max="10" width="54.625" customWidth="1"/>
    <col min="11" max="11" width="22.75" customWidth="1"/>
    <col min="12" max="12" width="33.25" bestFit="1" customWidth="1"/>
  </cols>
  <sheetData>
    <row r="1" spans="1:12" x14ac:dyDescent="0.25">
      <c r="B1" s="30" t="s">
        <v>0</v>
      </c>
      <c r="C1" s="1"/>
      <c r="D1" s="30" t="s">
        <v>1</v>
      </c>
      <c r="E1" s="35"/>
      <c r="F1" s="35"/>
      <c r="G1" s="35"/>
      <c r="H1" s="35"/>
      <c r="I1" s="35"/>
      <c r="J1" s="30" t="s">
        <v>0</v>
      </c>
      <c r="K1" s="35"/>
      <c r="L1" s="35"/>
    </row>
    <row r="2" spans="1:12" x14ac:dyDescent="0.25">
      <c r="A2" s="55" t="s">
        <v>816</v>
      </c>
      <c r="B2" s="1" t="s">
        <v>2</v>
      </c>
      <c r="C2" s="1" t="s">
        <v>988</v>
      </c>
      <c r="D2" s="1" t="s">
        <v>3</v>
      </c>
      <c r="E2" s="1" t="s">
        <v>4</v>
      </c>
      <c r="F2" s="1" t="s">
        <v>5</v>
      </c>
      <c r="G2" s="31" t="s">
        <v>628</v>
      </c>
      <c r="H2" s="1" t="s">
        <v>608</v>
      </c>
      <c r="I2" s="1" t="s">
        <v>6</v>
      </c>
      <c r="J2" s="1" t="s">
        <v>2</v>
      </c>
      <c r="K2" s="54" t="s">
        <v>818</v>
      </c>
      <c r="L2" s="54" t="s">
        <v>817</v>
      </c>
    </row>
    <row r="3" spans="1:12" ht="14.25" x14ac:dyDescent="0.2">
      <c r="A3" s="53" t="s">
        <v>819</v>
      </c>
      <c r="B3" s="27" t="s">
        <v>7</v>
      </c>
      <c r="C3" s="14" t="s">
        <v>990</v>
      </c>
      <c r="D3" s="27"/>
      <c r="E3" s="27"/>
      <c r="F3" s="27"/>
      <c r="G3" s="27"/>
      <c r="H3" s="51" t="s">
        <v>808</v>
      </c>
      <c r="I3" s="27"/>
      <c r="J3" s="27" t="s">
        <v>7</v>
      </c>
      <c r="K3" s="27"/>
      <c r="L3" s="27"/>
    </row>
    <row r="4" spans="1:12" x14ac:dyDescent="0.25">
      <c r="B4" s="2" t="s">
        <v>12</v>
      </c>
      <c r="C4" s="4"/>
      <c r="D4" s="2" t="s">
        <v>8</v>
      </c>
      <c r="E4" s="3" t="s">
        <v>9</v>
      </c>
      <c r="F4" s="4" t="s">
        <v>10</v>
      </c>
      <c r="G4" s="60"/>
      <c r="H4" s="61"/>
      <c r="I4" s="4" t="s">
        <v>24</v>
      </c>
      <c r="J4" s="2" t="s">
        <v>12</v>
      </c>
      <c r="K4" s="4" t="s">
        <v>828</v>
      </c>
      <c r="L4" s="4" t="s">
        <v>1039</v>
      </c>
    </row>
    <row r="5" spans="1:12" x14ac:dyDescent="0.25">
      <c r="B5" s="2" t="s">
        <v>17</v>
      </c>
      <c r="C5" s="4"/>
      <c r="D5" s="2" t="s">
        <v>13</v>
      </c>
      <c r="E5" s="3" t="s">
        <v>800</v>
      </c>
      <c r="F5" s="4" t="s">
        <v>15</v>
      </c>
      <c r="G5" s="60"/>
      <c r="H5" s="61"/>
      <c r="I5" s="4" t="s">
        <v>30</v>
      </c>
      <c r="J5" s="2" t="s">
        <v>17</v>
      </c>
      <c r="K5" s="4" t="s">
        <v>825</v>
      </c>
      <c r="L5" s="4" t="s">
        <v>1040</v>
      </c>
    </row>
    <row r="6" spans="1:12" x14ac:dyDescent="0.25">
      <c r="B6" s="4" t="s">
        <v>21</v>
      </c>
      <c r="C6" s="4"/>
      <c r="D6" s="4" t="s">
        <v>18</v>
      </c>
      <c r="E6" s="3" t="s">
        <v>19</v>
      </c>
      <c r="F6" s="4" t="s">
        <v>551</v>
      </c>
      <c r="G6" s="60"/>
      <c r="H6" s="61"/>
      <c r="I6" s="4" t="s">
        <v>551</v>
      </c>
      <c r="J6" s="4" t="s">
        <v>21</v>
      </c>
      <c r="K6" s="4" t="s">
        <v>826</v>
      </c>
      <c r="L6" s="4" t="s">
        <v>1041</v>
      </c>
    </row>
    <row r="7" spans="1:12" x14ac:dyDescent="0.25">
      <c r="B7" s="4"/>
      <c r="C7" s="6"/>
      <c r="D7" s="4" t="s">
        <v>18</v>
      </c>
      <c r="E7" s="3" t="s">
        <v>22</v>
      </c>
      <c r="F7" s="6"/>
      <c r="G7" s="62"/>
      <c r="H7" s="59"/>
      <c r="I7" s="4" t="s">
        <v>576</v>
      </c>
      <c r="J7" s="4"/>
      <c r="K7" s="4" t="s">
        <v>827</v>
      </c>
      <c r="L7" s="4" t="s">
        <v>1042</v>
      </c>
    </row>
    <row r="8" spans="1:12" x14ac:dyDescent="0.25">
      <c r="B8" s="4"/>
      <c r="C8" s="6"/>
      <c r="D8" s="4" t="s">
        <v>25</v>
      </c>
      <c r="E8" s="3" t="s">
        <v>26</v>
      </c>
      <c r="F8" s="4" t="s">
        <v>576</v>
      </c>
      <c r="G8" s="32" t="s">
        <v>560</v>
      </c>
      <c r="H8" s="9" t="s">
        <v>533</v>
      </c>
      <c r="I8" s="4" t="s">
        <v>560</v>
      </c>
      <c r="J8" s="4"/>
      <c r="K8" s="4" t="s">
        <v>824</v>
      </c>
      <c r="L8" s="4" t="s">
        <v>1043</v>
      </c>
    </row>
    <row r="9" spans="1:12" x14ac:dyDescent="0.25">
      <c r="B9" s="4"/>
      <c r="C9" s="6"/>
      <c r="D9" s="4" t="s">
        <v>28</v>
      </c>
      <c r="E9" s="4" t="s">
        <v>29</v>
      </c>
      <c r="F9" s="4" t="s">
        <v>30</v>
      </c>
      <c r="G9" s="32" t="s">
        <v>567</v>
      </c>
      <c r="H9" s="9" t="s">
        <v>535</v>
      </c>
      <c r="I9" s="4" t="s">
        <v>567</v>
      </c>
      <c r="J9" s="4"/>
      <c r="K9" s="4" t="s">
        <v>823</v>
      </c>
      <c r="L9" s="4" t="s">
        <v>1044</v>
      </c>
    </row>
    <row r="10" spans="1:12" x14ac:dyDescent="0.25">
      <c r="B10" s="3"/>
      <c r="C10" s="6"/>
      <c r="D10" s="3" t="s">
        <v>18</v>
      </c>
      <c r="E10" s="3" t="s">
        <v>32</v>
      </c>
      <c r="F10" s="10" t="s">
        <v>33</v>
      </c>
      <c r="G10" s="60"/>
      <c r="H10" s="61"/>
      <c r="I10" s="10" t="s">
        <v>796</v>
      </c>
      <c r="J10" s="3"/>
      <c r="K10" s="10" t="s">
        <v>822</v>
      </c>
      <c r="L10" s="10"/>
    </row>
    <row r="11" spans="1:12" ht="14.25" x14ac:dyDescent="0.2">
      <c r="A11" s="53" t="s">
        <v>819</v>
      </c>
      <c r="B11" s="14" t="s">
        <v>35</v>
      </c>
      <c r="C11" s="14" t="s">
        <v>991</v>
      </c>
      <c r="D11" s="14"/>
      <c r="E11" s="14"/>
      <c r="F11" s="14"/>
      <c r="G11" s="14"/>
      <c r="H11" s="51" t="s">
        <v>808</v>
      </c>
      <c r="I11" s="14"/>
      <c r="J11" s="14" t="s">
        <v>35</v>
      </c>
      <c r="K11" s="14"/>
      <c r="L11" s="14"/>
    </row>
    <row r="12" spans="1:12" x14ac:dyDescent="0.25">
      <c r="B12" s="2" t="s">
        <v>39</v>
      </c>
      <c r="C12" s="4"/>
      <c r="D12" s="2" t="s">
        <v>8</v>
      </c>
      <c r="E12" s="4" t="s">
        <v>36</v>
      </c>
      <c r="F12" s="4" t="s">
        <v>601</v>
      </c>
      <c r="G12" s="32" t="s">
        <v>38</v>
      </c>
      <c r="H12" s="9" t="s">
        <v>547</v>
      </c>
      <c r="I12" s="4" t="s">
        <v>37</v>
      </c>
      <c r="J12" s="2" t="s">
        <v>846</v>
      </c>
      <c r="K12" s="4" t="s">
        <v>38</v>
      </c>
      <c r="L12" s="4" t="s">
        <v>1045</v>
      </c>
    </row>
    <row r="13" spans="1:12" x14ac:dyDescent="0.25">
      <c r="B13" s="4"/>
      <c r="C13" s="6"/>
      <c r="D13" s="4" t="s">
        <v>40</v>
      </c>
      <c r="E13" s="4" t="s">
        <v>601</v>
      </c>
      <c r="F13" s="4" t="s">
        <v>41</v>
      </c>
      <c r="G13" s="60"/>
      <c r="H13" s="61"/>
      <c r="I13" s="4" t="s">
        <v>42</v>
      </c>
      <c r="J13" s="4"/>
      <c r="K13" s="4" t="s">
        <v>554</v>
      </c>
      <c r="L13" s="4" t="s">
        <v>1046</v>
      </c>
    </row>
    <row r="14" spans="1:12" x14ac:dyDescent="0.25">
      <c r="B14" s="4"/>
      <c r="C14" s="6"/>
      <c r="D14" s="4" t="s">
        <v>40</v>
      </c>
      <c r="E14" s="3" t="s">
        <v>590</v>
      </c>
      <c r="F14" s="4" t="s">
        <v>44</v>
      </c>
      <c r="G14" s="60"/>
      <c r="H14" s="61"/>
      <c r="I14" s="4" t="s">
        <v>38</v>
      </c>
      <c r="J14" s="4"/>
      <c r="K14" s="4" t="s">
        <v>565</v>
      </c>
      <c r="L14" s="4" t="s">
        <v>1047</v>
      </c>
    </row>
    <row r="15" spans="1:12" x14ac:dyDescent="0.25">
      <c r="B15" s="9"/>
      <c r="C15" s="4"/>
      <c r="D15" s="9" t="s">
        <v>40</v>
      </c>
      <c r="E15" s="58"/>
      <c r="F15" s="59"/>
      <c r="G15" s="60"/>
      <c r="H15" s="61"/>
      <c r="I15" s="59"/>
      <c r="J15" s="9"/>
      <c r="K15" s="59" t="s">
        <v>71</v>
      </c>
      <c r="L15" s="59" t="s">
        <v>1048</v>
      </c>
    </row>
    <row r="16" spans="1:12" x14ac:dyDescent="0.25">
      <c r="B16" s="9"/>
      <c r="C16" s="4"/>
      <c r="D16" s="9" t="s">
        <v>40</v>
      </c>
      <c r="E16" s="58"/>
      <c r="F16" s="59"/>
      <c r="G16" s="60"/>
      <c r="H16" s="61"/>
      <c r="I16" s="59"/>
      <c r="J16" s="9"/>
      <c r="K16" s="59" t="s">
        <v>829</v>
      </c>
      <c r="L16" s="59"/>
    </row>
    <row r="17" spans="1:12" x14ac:dyDescent="0.25">
      <c r="B17" s="11" t="s">
        <v>43</v>
      </c>
      <c r="C17" s="4"/>
      <c r="D17" s="11" t="s">
        <v>45</v>
      </c>
      <c r="E17" s="12" t="s">
        <v>46</v>
      </c>
      <c r="F17" s="11" t="s">
        <v>47</v>
      </c>
      <c r="G17" s="33"/>
      <c r="H17" s="7"/>
      <c r="I17" s="12" t="s">
        <v>797</v>
      </c>
      <c r="J17" s="11" t="s">
        <v>43</v>
      </c>
      <c r="K17" s="12"/>
      <c r="L17" s="12"/>
    </row>
    <row r="18" spans="1:12" ht="14.25" x14ac:dyDescent="0.2">
      <c r="A18" s="53" t="s">
        <v>819</v>
      </c>
      <c r="B18" s="14" t="s">
        <v>815</v>
      </c>
      <c r="C18" s="14" t="s">
        <v>992</v>
      </c>
      <c r="D18" s="14"/>
      <c r="E18" s="14"/>
      <c r="F18" s="14"/>
      <c r="G18" s="14"/>
      <c r="H18" s="51" t="s">
        <v>810</v>
      </c>
      <c r="I18" s="14"/>
      <c r="J18" s="14" t="s">
        <v>48</v>
      </c>
      <c r="K18" s="14"/>
      <c r="L18" s="14"/>
    </row>
    <row r="19" spans="1:12" x14ac:dyDescent="0.25">
      <c r="B19" s="3" t="s">
        <v>51</v>
      </c>
      <c r="C19" s="4"/>
      <c r="D19" s="3" t="s">
        <v>49</v>
      </c>
      <c r="E19" s="3" t="s">
        <v>798</v>
      </c>
      <c r="F19" s="3" t="s">
        <v>50</v>
      </c>
      <c r="G19" s="32" t="s">
        <v>581</v>
      </c>
      <c r="H19" s="9" t="s">
        <v>539</v>
      </c>
      <c r="I19" s="4" t="s">
        <v>581</v>
      </c>
      <c r="J19" s="3" t="s">
        <v>51</v>
      </c>
      <c r="K19" s="4" t="s">
        <v>830</v>
      </c>
      <c r="L19" s="4" t="s">
        <v>1049</v>
      </c>
    </row>
    <row r="20" spans="1:12" x14ac:dyDescent="0.25">
      <c r="B20" s="4" t="s">
        <v>54</v>
      </c>
      <c r="C20" s="4"/>
      <c r="D20" s="4" t="s">
        <v>52</v>
      </c>
      <c r="E20" s="3" t="s">
        <v>50</v>
      </c>
      <c r="F20" s="3" t="s">
        <v>799</v>
      </c>
      <c r="G20" s="32" t="s">
        <v>53</v>
      </c>
      <c r="H20" s="9" t="s">
        <v>532</v>
      </c>
      <c r="I20" s="4" t="s">
        <v>53</v>
      </c>
      <c r="J20" s="4" t="s">
        <v>54</v>
      </c>
      <c r="K20" s="4" t="s">
        <v>50</v>
      </c>
      <c r="L20" s="4" t="s">
        <v>1041</v>
      </c>
    </row>
    <row r="21" spans="1:12" x14ac:dyDescent="0.25">
      <c r="B21" s="4"/>
      <c r="C21" s="6"/>
      <c r="D21" s="4" t="s">
        <v>52</v>
      </c>
      <c r="E21" s="3" t="s">
        <v>32</v>
      </c>
      <c r="F21" s="3" t="s">
        <v>53</v>
      </c>
      <c r="G21" s="32" t="s">
        <v>564</v>
      </c>
      <c r="H21" s="9" t="s">
        <v>534</v>
      </c>
      <c r="I21" s="4" t="s">
        <v>564</v>
      </c>
      <c r="J21" s="4"/>
      <c r="K21" s="4" t="s">
        <v>556</v>
      </c>
      <c r="L21" s="4" t="s">
        <v>1040</v>
      </c>
    </row>
    <row r="22" spans="1:12" x14ac:dyDescent="0.25">
      <c r="B22" s="4"/>
      <c r="C22" s="6"/>
      <c r="D22" s="4" t="s">
        <v>55</v>
      </c>
      <c r="E22" s="3" t="s">
        <v>564</v>
      </c>
      <c r="F22" s="4" t="s">
        <v>24</v>
      </c>
      <c r="G22" s="60"/>
      <c r="H22" s="61"/>
      <c r="I22" s="4" t="s">
        <v>24</v>
      </c>
      <c r="J22" s="4"/>
      <c r="K22" s="4" t="s">
        <v>20</v>
      </c>
      <c r="L22" s="4" t="s">
        <v>1050</v>
      </c>
    </row>
    <row r="23" spans="1:12" x14ac:dyDescent="0.25">
      <c r="B23" s="4"/>
      <c r="C23" s="6"/>
      <c r="D23" s="4" t="s">
        <v>18</v>
      </c>
      <c r="E23" s="3" t="s">
        <v>53</v>
      </c>
      <c r="F23" s="4" t="s">
        <v>607</v>
      </c>
      <c r="G23" s="60"/>
      <c r="H23" s="61"/>
      <c r="I23" s="4" t="s">
        <v>607</v>
      </c>
      <c r="J23" s="4"/>
      <c r="K23" s="4" t="s">
        <v>75</v>
      </c>
      <c r="L23" s="4"/>
    </row>
    <row r="24" spans="1:12" ht="14.25" x14ac:dyDescent="0.2">
      <c r="A24" s="53" t="s">
        <v>819</v>
      </c>
      <c r="B24" s="14" t="s">
        <v>811</v>
      </c>
      <c r="C24" s="14" t="s">
        <v>993</v>
      </c>
      <c r="D24" s="14"/>
      <c r="E24" s="14"/>
      <c r="F24" s="14"/>
      <c r="G24" s="14"/>
      <c r="H24" s="51" t="s">
        <v>809</v>
      </c>
      <c r="I24" s="14"/>
      <c r="J24" s="14" t="s">
        <v>811</v>
      </c>
      <c r="K24" s="14"/>
      <c r="L24" s="14"/>
    </row>
    <row r="25" spans="1:12" x14ac:dyDescent="0.25">
      <c r="B25" s="3" t="s">
        <v>60</v>
      </c>
      <c r="C25" s="4"/>
      <c r="D25" s="3" t="s">
        <v>57</v>
      </c>
      <c r="E25" s="3" t="s">
        <v>58</v>
      </c>
      <c r="F25" s="4" t="s">
        <v>59</v>
      </c>
      <c r="G25" s="60"/>
      <c r="H25" s="61"/>
      <c r="I25" s="4" t="s">
        <v>59</v>
      </c>
      <c r="J25" s="3" t="s">
        <v>60</v>
      </c>
      <c r="K25" s="4" t="s">
        <v>604</v>
      </c>
      <c r="L25" s="4" t="s">
        <v>1039</v>
      </c>
    </row>
    <row r="26" spans="1:12" x14ac:dyDescent="0.25">
      <c r="B26" s="4"/>
      <c r="C26" s="6"/>
      <c r="D26" s="4" t="s">
        <v>40</v>
      </c>
      <c r="E26" s="3" t="s">
        <v>61</v>
      </c>
      <c r="F26" s="4" t="s">
        <v>62</v>
      </c>
      <c r="G26" s="60"/>
      <c r="H26" s="61"/>
      <c r="I26" s="4" t="s">
        <v>62</v>
      </c>
      <c r="J26" s="4"/>
      <c r="K26" s="4" t="s">
        <v>59</v>
      </c>
      <c r="L26" s="4" t="s">
        <v>1051</v>
      </c>
    </row>
    <row r="27" spans="1:12" ht="15.75" customHeight="1" x14ac:dyDescent="0.25">
      <c r="B27" s="4"/>
      <c r="C27" s="6"/>
      <c r="D27" s="4" t="s">
        <v>40</v>
      </c>
      <c r="E27" s="3" t="s">
        <v>63</v>
      </c>
      <c r="F27" s="4" t="s">
        <v>64</v>
      </c>
      <c r="G27" s="60"/>
      <c r="H27" s="61"/>
      <c r="I27" s="4" t="s">
        <v>64</v>
      </c>
      <c r="J27" s="4"/>
      <c r="K27" s="4" t="s">
        <v>64</v>
      </c>
      <c r="L27" s="4" t="s">
        <v>1052</v>
      </c>
    </row>
    <row r="28" spans="1:12" ht="15.75" customHeight="1" x14ac:dyDescent="0.25">
      <c r="B28" s="4"/>
      <c r="C28" s="6"/>
      <c r="D28" s="4" t="s">
        <v>40</v>
      </c>
      <c r="E28" s="3" t="s">
        <v>65</v>
      </c>
      <c r="F28" s="6"/>
      <c r="G28" s="32" t="s">
        <v>585</v>
      </c>
      <c r="H28" s="9" t="s">
        <v>540</v>
      </c>
      <c r="I28" s="4" t="s">
        <v>585</v>
      </c>
      <c r="J28" s="4"/>
      <c r="K28" s="4" t="s">
        <v>90</v>
      </c>
      <c r="L28" s="4" t="s">
        <v>1053</v>
      </c>
    </row>
    <row r="29" spans="1:12" ht="15.75" customHeight="1" x14ac:dyDescent="0.25">
      <c r="B29" s="4"/>
      <c r="C29" s="6"/>
      <c r="D29" s="4" t="s">
        <v>40</v>
      </c>
      <c r="E29" s="3" t="s">
        <v>604</v>
      </c>
      <c r="F29" s="6"/>
      <c r="G29" s="32" t="s">
        <v>604</v>
      </c>
      <c r="H29" s="9" t="s">
        <v>548</v>
      </c>
      <c r="I29" s="4" t="s">
        <v>604</v>
      </c>
      <c r="J29" s="4"/>
      <c r="K29" s="4" t="s">
        <v>89</v>
      </c>
      <c r="L29" s="4"/>
    </row>
    <row r="30" spans="1:12" ht="15.75" customHeight="1" x14ac:dyDescent="0.2">
      <c r="A30" s="53" t="s">
        <v>819</v>
      </c>
      <c r="B30" s="14" t="s">
        <v>66</v>
      </c>
      <c r="C30" s="14" t="s">
        <v>994</v>
      </c>
      <c r="D30" s="14"/>
      <c r="E30" s="14"/>
      <c r="F30" s="14"/>
      <c r="G30" s="14"/>
      <c r="H30" s="51" t="s">
        <v>808</v>
      </c>
      <c r="I30" s="14"/>
      <c r="J30" s="14" t="s">
        <v>66</v>
      </c>
      <c r="K30" s="14"/>
      <c r="L30" s="14"/>
    </row>
    <row r="31" spans="1:12" ht="15.75" customHeight="1" x14ac:dyDescent="0.25">
      <c r="B31" s="4" t="s">
        <v>12</v>
      </c>
      <c r="C31" s="4"/>
      <c r="D31" s="4" t="s">
        <v>18</v>
      </c>
      <c r="E31" s="3" t="s">
        <v>564</v>
      </c>
      <c r="F31" s="4" t="s">
        <v>24</v>
      </c>
      <c r="G31" s="60"/>
      <c r="H31" s="61"/>
      <c r="I31" s="4" t="s">
        <v>24</v>
      </c>
      <c r="J31" s="4" t="s">
        <v>12</v>
      </c>
      <c r="K31" s="4" t="s">
        <v>75</v>
      </c>
      <c r="L31" s="4" t="s">
        <v>1050</v>
      </c>
    </row>
    <row r="32" spans="1:12" ht="15.75" customHeight="1" x14ac:dyDescent="0.25">
      <c r="B32" s="4" t="s">
        <v>67</v>
      </c>
      <c r="C32" s="4"/>
      <c r="D32" s="4" t="s">
        <v>18</v>
      </c>
      <c r="E32" s="3" t="s">
        <v>53</v>
      </c>
      <c r="F32" s="3" t="s">
        <v>53</v>
      </c>
      <c r="G32" s="32" t="s">
        <v>795</v>
      </c>
      <c r="H32" s="9" t="s">
        <v>531</v>
      </c>
      <c r="I32" s="4" t="s">
        <v>564</v>
      </c>
      <c r="J32" s="4" t="s">
        <v>67</v>
      </c>
      <c r="K32" s="4" t="s">
        <v>53</v>
      </c>
      <c r="L32" s="4" t="s">
        <v>1042</v>
      </c>
    </row>
    <row r="33" spans="1:12" ht="15.75" customHeight="1" x14ac:dyDescent="0.25">
      <c r="B33" s="4"/>
      <c r="C33" s="6"/>
      <c r="D33" s="4" t="s">
        <v>18</v>
      </c>
      <c r="E33" s="3" t="s">
        <v>68</v>
      </c>
      <c r="F33" s="3" t="s">
        <v>68</v>
      </c>
      <c r="G33" s="32" t="s">
        <v>607</v>
      </c>
      <c r="H33" s="9" t="s">
        <v>549</v>
      </c>
      <c r="I33" s="4" t="s">
        <v>607</v>
      </c>
      <c r="J33" s="4"/>
      <c r="K33" s="4" t="s">
        <v>50</v>
      </c>
      <c r="L33" s="4" t="s">
        <v>1049</v>
      </c>
    </row>
    <row r="34" spans="1:12" ht="15.75" customHeight="1" x14ac:dyDescent="0.25">
      <c r="B34" s="4"/>
      <c r="C34" s="6"/>
      <c r="D34" s="4" t="s">
        <v>28</v>
      </c>
      <c r="E34" s="3" t="s">
        <v>58</v>
      </c>
      <c r="F34" s="4" t="s">
        <v>69</v>
      </c>
      <c r="G34" s="60"/>
      <c r="H34" s="61"/>
      <c r="I34" s="4" t="s">
        <v>69</v>
      </c>
      <c r="J34" s="4"/>
      <c r="K34" s="4" t="s">
        <v>89</v>
      </c>
      <c r="L34" s="4" t="s">
        <v>1053</v>
      </c>
    </row>
    <row r="35" spans="1:12" ht="15.75" customHeight="1" x14ac:dyDescent="0.25">
      <c r="B35" s="4"/>
      <c r="C35" s="6"/>
      <c r="D35" s="4" t="s">
        <v>28</v>
      </c>
      <c r="E35" s="3" t="s">
        <v>568</v>
      </c>
      <c r="F35" s="3" t="s">
        <v>568</v>
      </c>
      <c r="G35" s="32" t="s">
        <v>604</v>
      </c>
      <c r="H35" s="9" t="s">
        <v>548</v>
      </c>
      <c r="I35" s="4" t="s">
        <v>604</v>
      </c>
      <c r="J35" s="4"/>
      <c r="K35" s="4" t="s">
        <v>831</v>
      </c>
      <c r="L35" s="4"/>
    </row>
    <row r="36" spans="1:12" ht="15.75" customHeight="1" x14ac:dyDescent="0.2">
      <c r="A36" s="53" t="s">
        <v>819</v>
      </c>
      <c r="B36" s="14" t="s">
        <v>70</v>
      </c>
      <c r="C36" s="14" t="s">
        <v>995</v>
      </c>
      <c r="D36" s="14"/>
      <c r="E36" s="14"/>
      <c r="F36" s="14"/>
      <c r="G36" s="14"/>
      <c r="H36" s="51" t="s">
        <v>808</v>
      </c>
      <c r="I36" s="14"/>
      <c r="J36" s="14" t="s">
        <v>70</v>
      </c>
      <c r="K36" s="14"/>
      <c r="L36" s="14"/>
    </row>
    <row r="37" spans="1:12" ht="15.75" customHeight="1" x14ac:dyDescent="0.25">
      <c r="B37" s="3" t="s">
        <v>72</v>
      </c>
      <c r="C37" s="4"/>
      <c r="D37" s="3" t="s">
        <v>57</v>
      </c>
      <c r="E37" s="3" t="s">
        <v>551</v>
      </c>
      <c r="F37" s="4" t="s">
        <v>71</v>
      </c>
      <c r="G37" s="60"/>
      <c r="H37" s="61"/>
      <c r="I37" s="4" t="s">
        <v>599</v>
      </c>
      <c r="J37" s="3" t="s">
        <v>72</v>
      </c>
      <c r="K37" s="4" t="s">
        <v>76</v>
      </c>
      <c r="L37" s="4" t="s">
        <v>1054</v>
      </c>
    </row>
    <row r="38" spans="1:12" ht="15.75" customHeight="1" x14ac:dyDescent="0.25">
      <c r="B38" s="3"/>
      <c r="C38" s="6"/>
      <c r="D38" s="3" t="s">
        <v>57</v>
      </c>
      <c r="E38" s="3" t="s">
        <v>567</v>
      </c>
      <c r="F38" s="4" t="s">
        <v>30</v>
      </c>
      <c r="G38" s="60"/>
      <c r="H38" s="61"/>
      <c r="I38" s="4" t="s">
        <v>30</v>
      </c>
      <c r="J38" s="3"/>
      <c r="K38" s="4" t="s">
        <v>591</v>
      </c>
      <c r="L38" s="4" t="s">
        <v>1055</v>
      </c>
    </row>
    <row r="39" spans="1:12" ht="15.75" customHeight="1" x14ac:dyDescent="0.25">
      <c r="B39" s="4"/>
      <c r="C39" s="6"/>
      <c r="D39" s="4" t="s">
        <v>40</v>
      </c>
      <c r="E39" s="3" t="s">
        <v>75</v>
      </c>
      <c r="F39" s="4" t="s">
        <v>551</v>
      </c>
      <c r="G39" s="60"/>
      <c r="H39" s="61"/>
      <c r="I39" s="4" t="s">
        <v>551</v>
      </c>
      <c r="J39" s="4"/>
      <c r="K39" s="4" t="s">
        <v>93</v>
      </c>
      <c r="L39" s="4" t="s">
        <v>1056</v>
      </c>
    </row>
    <row r="40" spans="1:12" ht="15.75" customHeight="1" x14ac:dyDescent="0.25">
      <c r="B40" s="4"/>
      <c r="C40" s="6"/>
      <c r="D40" s="4" t="s">
        <v>40</v>
      </c>
      <c r="E40" s="3" t="s">
        <v>68</v>
      </c>
      <c r="F40" s="4" t="s">
        <v>798</v>
      </c>
      <c r="G40" s="60"/>
      <c r="H40" s="61"/>
      <c r="I40" s="4" t="s">
        <v>581</v>
      </c>
      <c r="J40" s="4"/>
      <c r="K40" s="4" t="s">
        <v>833</v>
      </c>
      <c r="L40" s="4" t="s">
        <v>1044</v>
      </c>
    </row>
    <row r="41" spans="1:12" ht="15.75" customHeight="1" x14ac:dyDescent="0.25">
      <c r="B41" s="4"/>
      <c r="C41" s="6"/>
      <c r="D41" s="4" t="s">
        <v>40</v>
      </c>
      <c r="E41" s="3" t="s">
        <v>798</v>
      </c>
      <c r="F41" s="3" t="s">
        <v>44</v>
      </c>
      <c r="G41" s="32" t="s">
        <v>76</v>
      </c>
      <c r="H41" s="9" t="s">
        <v>542</v>
      </c>
      <c r="I41" s="4" t="s">
        <v>76</v>
      </c>
      <c r="J41" s="4"/>
      <c r="K41" s="4" t="s">
        <v>558</v>
      </c>
      <c r="L41" s="4" t="s">
        <v>1057</v>
      </c>
    </row>
    <row r="42" spans="1:12" ht="15.75" customHeight="1" x14ac:dyDescent="0.25">
      <c r="B42" s="4"/>
      <c r="C42" s="6"/>
      <c r="D42" s="4" t="s">
        <v>40</v>
      </c>
      <c r="E42" s="3" t="s">
        <v>44</v>
      </c>
      <c r="F42" s="3" t="s">
        <v>557</v>
      </c>
      <c r="G42" s="32" t="s">
        <v>567</v>
      </c>
      <c r="H42" s="9" t="s">
        <v>535</v>
      </c>
      <c r="I42" s="4"/>
      <c r="J42" s="4"/>
      <c r="K42" s="4" t="s">
        <v>832</v>
      </c>
      <c r="L42" s="4"/>
    </row>
    <row r="43" spans="1:12" ht="15.75" customHeight="1" x14ac:dyDescent="0.25">
      <c r="B43" s="4"/>
      <c r="C43" s="6"/>
      <c r="D43" s="4" t="s">
        <v>40</v>
      </c>
      <c r="E43" s="3" t="s">
        <v>557</v>
      </c>
      <c r="F43" s="3" t="s">
        <v>572</v>
      </c>
      <c r="G43" s="32" t="s">
        <v>62</v>
      </c>
      <c r="H43" s="9" t="s">
        <v>543</v>
      </c>
      <c r="I43" s="4" t="s">
        <v>62</v>
      </c>
      <c r="J43" s="4"/>
      <c r="K43" s="4" t="s">
        <v>90</v>
      </c>
      <c r="L43" s="4"/>
    </row>
    <row r="44" spans="1:12" ht="15.75" customHeight="1" x14ac:dyDescent="0.25">
      <c r="B44" s="4"/>
      <c r="C44" s="6"/>
      <c r="D44" s="4" t="s">
        <v>40</v>
      </c>
      <c r="E44" s="3" t="s">
        <v>572</v>
      </c>
      <c r="F44" s="6"/>
      <c r="G44" s="32" t="s">
        <v>77</v>
      </c>
      <c r="H44" s="9" t="s">
        <v>538</v>
      </c>
      <c r="I44" s="4" t="s">
        <v>77</v>
      </c>
      <c r="J44" s="4"/>
      <c r="K44" s="4" t="s">
        <v>77</v>
      </c>
      <c r="L44" s="4"/>
    </row>
    <row r="45" spans="1:12" ht="15.75" customHeight="1" x14ac:dyDescent="0.25">
      <c r="B45" s="11" t="s">
        <v>74</v>
      </c>
      <c r="C45" s="4"/>
      <c r="D45" s="11" t="s">
        <v>78</v>
      </c>
      <c r="E45" s="7"/>
      <c r="F45" s="7"/>
      <c r="G45" s="33"/>
      <c r="H45" s="7"/>
      <c r="I45" s="7"/>
      <c r="J45" s="11" t="s">
        <v>74</v>
      </c>
      <c r="K45" s="7"/>
      <c r="L45" s="7"/>
    </row>
    <row r="46" spans="1:12" ht="15.75" customHeight="1" x14ac:dyDescent="0.25">
      <c r="B46" s="11"/>
      <c r="C46" s="6"/>
      <c r="D46" s="11" t="s">
        <v>78</v>
      </c>
      <c r="E46" s="7"/>
      <c r="F46" s="7"/>
      <c r="G46" s="33"/>
      <c r="H46" s="7"/>
      <c r="I46" s="7"/>
      <c r="J46" s="11"/>
      <c r="K46" s="7"/>
      <c r="L46" s="7"/>
    </row>
    <row r="47" spans="1:12" ht="15.75" customHeight="1" x14ac:dyDescent="0.25">
      <c r="B47" s="11"/>
      <c r="C47" s="6"/>
      <c r="D47" s="11" t="s">
        <v>78</v>
      </c>
      <c r="E47" s="13"/>
      <c r="F47" s="11" t="s">
        <v>79</v>
      </c>
      <c r="G47" s="34" t="s">
        <v>79</v>
      </c>
      <c r="H47" s="11" t="s">
        <v>545</v>
      </c>
      <c r="I47" s="11" t="s">
        <v>79</v>
      </c>
      <c r="J47" s="11"/>
      <c r="K47" s="11"/>
      <c r="L47" s="11"/>
    </row>
    <row r="48" spans="1:12" ht="15.75" customHeight="1" x14ac:dyDescent="0.2">
      <c r="A48" s="53" t="s">
        <v>819</v>
      </c>
      <c r="B48" s="14" t="s">
        <v>80</v>
      </c>
      <c r="C48" s="14" t="s">
        <v>996</v>
      </c>
      <c r="D48" s="14"/>
      <c r="E48" s="14"/>
      <c r="F48" s="14"/>
      <c r="G48" s="14"/>
      <c r="H48" s="51" t="s">
        <v>808</v>
      </c>
      <c r="I48" s="14"/>
      <c r="J48" s="14" t="s">
        <v>80</v>
      </c>
      <c r="K48" s="14"/>
      <c r="L48" s="14"/>
    </row>
    <row r="49" spans="1:12" ht="15.75" customHeight="1" x14ac:dyDescent="0.25">
      <c r="B49" s="4" t="s">
        <v>39</v>
      </c>
      <c r="C49" s="4"/>
      <c r="D49" s="4" t="s">
        <v>40</v>
      </c>
      <c r="E49" s="3" t="s">
        <v>59</v>
      </c>
      <c r="F49" s="4" t="s">
        <v>585</v>
      </c>
      <c r="G49" s="60"/>
      <c r="H49" s="61"/>
      <c r="I49" s="4" t="s">
        <v>585</v>
      </c>
      <c r="J49" s="4" t="s">
        <v>39</v>
      </c>
      <c r="K49" s="4" t="s">
        <v>83</v>
      </c>
      <c r="L49" s="4" t="s">
        <v>1058</v>
      </c>
    </row>
    <row r="50" spans="1:12" ht="15.75" customHeight="1" x14ac:dyDescent="0.25">
      <c r="B50" s="4"/>
      <c r="C50" s="6"/>
      <c r="D50" s="4" t="s">
        <v>40</v>
      </c>
      <c r="E50" s="3" t="s">
        <v>81</v>
      </c>
      <c r="F50" s="4" t="s">
        <v>82</v>
      </c>
      <c r="G50" s="60"/>
      <c r="H50" s="61"/>
      <c r="I50" s="4" t="s">
        <v>82</v>
      </c>
      <c r="J50" s="4"/>
      <c r="K50" s="4" t="s">
        <v>834</v>
      </c>
      <c r="L50" s="4" t="s">
        <v>1059</v>
      </c>
    </row>
    <row r="51" spans="1:12" ht="15.75" customHeight="1" x14ac:dyDescent="0.25">
      <c r="B51" s="4"/>
      <c r="C51" s="6"/>
      <c r="D51" s="4" t="s">
        <v>40</v>
      </c>
      <c r="E51" s="6"/>
      <c r="F51" s="6"/>
      <c r="G51" s="32" t="s">
        <v>83</v>
      </c>
      <c r="H51" s="9" t="s">
        <v>536</v>
      </c>
      <c r="I51" s="4" t="s">
        <v>83</v>
      </c>
      <c r="J51" s="4"/>
      <c r="K51" s="4" t="s">
        <v>77</v>
      </c>
      <c r="L51" s="4"/>
    </row>
    <row r="52" spans="1:12" ht="15.75" customHeight="1" x14ac:dyDescent="0.25">
      <c r="B52" s="11" t="s">
        <v>43</v>
      </c>
      <c r="C52" s="4"/>
      <c r="D52" s="11" t="s">
        <v>78</v>
      </c>
      <c r="E52" s="7"/>
      <c r="F52" s="7"/>
      <c r="G52" s="33"/>
      <c r="H52" s="7"/>
      <c r="I52" s="7"/>
      <c r="J52" s="11" t="s">
        <v>43</v>
      </c>
      <c r="K52" s="7"/>
      <c r="L52" s="7"/>
    </row>
    <row r="53" spans="1:12" ht="15.75" customHeight="1" x14ac:dyDescent="0.2">
      <c r="A53" s="53" t="s">
        <v>819</v>
      </c>
      <c r="B53" s="14" t="s">
        <v>84</v>
      </c>
      <c r="C53" s="14" t="s">
        <v>997</v>
      </c>
      <c r="D53" s="14"/>
      <c r="E53" s="14"/>
      <c r="F53" s="14"/>
      <c r="G53" s="14"/>
      <c r="H53" s="51" t="s">
        <v>808</v>
      </c>
      <c r="I53" s="14"/>
      <c r="J53" s="14" t="s">
        <v>84</v>
      </c>
      <c r="K53" s="14"/>
      <c r="L53" s="14"/>
    </row>
    <row r="54" spans="1:12" ht="15.75" customHeight="1" x14ac:dyDescent="0.25">
      <c r="B54" s="3" t="s">
        <v>86</v>
      </c>
      <c r="C54" s="4"/>
      <c r="D54" s="3" t="s">
        <v>57</v>
      </c>
      <c r="E54" s="3" t="s">
        <v>63</v>
      </c>
      <c r="F54" s="3" t="s">
        <v>85</v>
      </c>
      <c r="G54" s="60"/>
      <c r="H54" s="61"/>
      <c r="I54" s="4" t="s">
        <v>557</v>
      </c>
      <c r="J54" s="3" t="s">
        <v>86</v>
      </c>
      <c r="K54" s="4" t="s">
        <v>835</v>
      </c>
      <c r="L54" s="4" t="s">
        <v>1060</v>
      </c>
    </row>
    <row r="55" spans="1:12" ht="15.75" customHeight="1" x14ac:dyDescent="0.25">
      <c r="B55" s="4"/>
      <c r="D55" s="4" t="s">
        <v>836</v>
      </c>
      <c r="E55" s="3" t="s">
        <v>38</v>
      </c>
      <c r="F55" s="4" t="s">
        <v>590</v>
      </c>
      <c r="G55" s="60"/>
      <c r="H55" s="61"/>
      <c r="I55" s="4" t="s">
        <v>590</v>
      </c>
      <c r="J55" s="4"/>
      <c r="K55" s="52" t="s">
        <v>837</v>
      </c>
      <c r="L55" s="52" t="s">
        <v>1061</v>
      </c>
    </row>
    <row r="56" spans="1:12" ht="15.75" customHeight="1" x14ac:dyDescent="0.25">
      <c r="B56" s="4"/>
      <c r="C56" s="6"/>
      <c r="D56" s="4" t="s">
        <v>40</v>
      </c>
      <c r="E56" s="3" t="s">
        <v>65</v>
      </c>
      <c r="F56" s="4" t="s">
        <v>561</v>
      </c>
      <c r="G56" s="60"/>
      <c r="H56" s="61"/>
      <c r="I56" s="4" t="s">
        <v>561</v>
      </c>
      <c r="J56" s="4"/>
      <c r="K56" s="4" t="s">
        <v>605</v>
      </c>
      <c r="L56" s="4" t="s">
        <v>1062</v>
      </c>
    </row>
    <row r="57" spans="1:12" ht="15.75" customHeight="1" x14ac:dyDescent="0.25">
      <c r="B57" s="4"/>
      <c r="C57" s="6"/>
      <c r="D57" s="4" t="s">
        <v>40</v>
      </c>
      <c r="E57" s="3" t="s">
        <v>567</v>
      </c>
      <c r="F57" s="4" t="s">
        <v>88</v>
      </c>
      <c r="G57" s="60"/>
      <c r="H57" s="61"/>
      <c r="I57" s="4" t="s">
        <v>88</v>
      </c>
      <c r="J57" s="4"/>
      <c r="K57" s="4" t="s">
        <v>838</v>
      </c>
      <c r="L57" s="4" t="s">
        <v>1063</v>
      </c>
    </row>
    <row r="58" spans="1:12" ht="15.75" customHeight="1" x14ac:dyDescent="0.25">
      <c r="B58" s="4"/>
      <c r="C58" s="6"/>
      <c r="D58" s="4" t="s">
        <v>40</v>
      </c>
      <c r="E58" s="3" t="s">
        <v>585</v>
      </c>
      <c r="F58" s="4" t="s">
        <v>568</v>
      </c>
      <c r="G58" s="60"/>
      <c r="H58" s="61"/>
      <c r="I58" s="4" t="s">
        <v>568</v>
      </c>
      <c r="J58" s="4"/>
      <c r="K58" s="4" t="s">
        <v>839</v>
      </c>
      <c r="L58" s="4" t="s">
        <v>1064</v>
      </c>
    </row>
    <row r="59" spans="1:12" ht="15.75" customHeight="1" x14ac:dyDescent="0.25">
      <c r="B59" s="4"/>
      <c r="C59" s="6"/>
      <c r="D59" s="4" t="s">
        <v>40</v>
      </c>
      <c r="E59" s="3" t="s">
        <v>89</v>
      </c>
      <c r="F59" s="4" t="s">
        <v>567</v>
      </c>
      <c r="G59" s="60"/>
      <c r="H59" s="61"/>
      <c r="I59" s="4" t="s">
        <v>567</v>
      </c>
      <c r="J59" s="4"/>
      <c r="K59" s="4" t="s">
        <v>69</v>
      </c>
      <c r="L59" s="4" t="s">
        <v>1065</v>
      </c>
    </row>
    <row r="60" spans="1:12" ht="15.75" customHeight="1" x14ac:dyDescent="0.25">
      <c r="B60" s="4"/>
      <c r="C60" s="6"/>
      <c r="D60" s="4" t="s">
        <v>40</v>
      </c>
      <c r="E60" s="3" t="s">
        <v>85</v>
      </c>
      <c r="F60" s="3" t="s">
        <v>90</v>
      </c>
      <c r="G60" s="32" t="s">
        <v>601</v>
      </c>
      <c r="H60" s="9" t="s">
        <v>546</v>
      </c>
      <c r="I60" s="4" t="s">
        <v>601</v>
      </c>
      <c r="J60" s="4"/>
      <c r="K60" s="4" t="s">
        <v>840</v>
      </c>
      <c r="L60" s="4"/>
    </row>
    <row r="61" spans="1:12" ht="15.75" customHeight="1" x14ac:dyDescent="0.25">
      <c r="B61" s="4"/>
      <c r="C61" s="6"/>
      <c r="D61" s="4" t="s">
        <v>40</v>
      </c>
      <c r="E61" s="3" t="s">
        <v>62</v>
      </c>
      <c r="F61" s="3" t="s">
        <v>91</v>
      </c>
      <c r="G61" s="32" t="s">
        <v>92</v>
      </c>
      <c r="H61" s="9" t="s">
        <v>541</v>
      </c>
      <c r="I61" s="4" t="s">
        <v>92</v>
      </c>
      <c r="J61" s="4"/>
      <c r="K61" s="4" t="s">
        <v>92</v>
      </c>
      <c r="L61" s="4"/>
    </row>
    <row r="62" spans="1:12" ht="15.75" customHeight="1" x14ac:dyDescent="0.25">
      <c r="B62" s="4"/>
      <c r="C62" s="6"/>
      <c r="D62" s="4" t="s">
        <v>40</v>
      </c>
      <c r="E62" s="3" t="s">
        <v>91</v>
      </c>
      <c r="F62" s="3" t="s">
        <v>92</v>
      </c>
      <c r="G62" s="62"/>
      <c r="H62" s="59"/>
      <c r="I62" s="4" t="s">
        <v>91</v>
      </c>
      <c r="J62" s="4"/>
      <c r="K62" s="4" t="s">
        <v>841</v>
      </c>
      <c r="L62" s="4" t="s">
        <v>1066</v>
      </c>
    </row>
    <row r="63" spans="1:12" ht="15.75" customHeight="1" x14ac:dyDescent="0.25">
      <c r="B63" s="4"/>
      <c r="C63" s="6"/>
      <c r="D63" s="4" t="s">
        <v>40</v>
      </c>
      <c r="E63" s="3" t="s">
        <v>92</v>
      </c>
      <c r="F63" s="3" t="s">
        <v>93</v>
      </c>
      <c r="G63" s="32" t="s">
        <v>572</v>
      </c>
      <c r="H63" s="9" t="s">
        <v>537</v>
      </c>
      <c r="I63" s="4" t="s">
        <v>572</v>
      </c>
      <c r="J63" s="4"/>
      <c r="K63" s="4" t="s">
        <v>572</v>
      </c>
      <c r="L63" s="4"/>
    </row>
    <row r="64" spans="1:12" ht="15.75" customHeight="1" x14ac:dyDescent="0.25">
      <c r="B64" s="4"/>
      <c r="C64" s="6"/>
      <c r="D64" s="4" t="s">
        <v>40</v>
      </c>
      <c r="E64" s="3" t="s">
        <v>93</v>
      </c>
      <c r="F64" s="6"/>
      <c r="G64" s="32" t="s">
        <v>600</v>
      </c>
      <c r="H64" s="9" t="s">
        <v>544</v>
      </c>
      <c r="I64" s="4" t="s">
        <v>563</v>
      </c>
      <c r="J64" s="4"/>
      <c r="K64" s="4" t="s">
        <v>563</v>
      </c>
      <c r="L64" s="4"/>
    </row>
    <row r="65" spans="1:12" ht="15.75" customHeight="1" x14ac:dyDescent="0.25">
      <c r="B65" s="11" t="s">
        <v>87</v>
      </c>
      <c r="C65" s="4"/>
      <c r="D65" s="11" t="s">
        <v>78</v>
      </c>
      <c r="E65" s="11" t="s">
        <v>577</v>
      </c>
      <c r="F65" s="11" t="s">
        <v>577</v>
      </c>
      <c r="G65" s="11"/>
      <c r="H65" s="11"/>
      <c r="I65" s="11" t="s">
        <v>577</v>
      </c>
      <c r="J65" s="11" t="s">
        <v>87</v>
      </c>
      <c r="K65" s="11"/>
      <c r="L65" s="11"/>
    </row>
    <row r="66" spans="1:12" ht="15.75" customHeight="1" x14ac:dyDescent="0.2">
      <c r="B66" s="36" t="s">
        <v>94</v>
      </c>
      <c r="C66" s="37"/>
      <c r="D66" s="36"/>
      <c r="E66" s="36"/>
      <c r="F66" s="36"/>
      <c r="G66" s="36"/>
      <c r="H66" s="36"/>
      <c r="I66" s="36"/>
      <c r="J66" s="36" t="s">
        <v>94</v>
      </c>
      <c r="K66" s="36"/>
      <c r="L66" s="36"/>
    </row>
    <row r="67" spans="1:12" ht="15.75" customHeight="1" x14ac:dyDescent="0.2">
      <c r="A67" s="53" t="s">
        <v>820</v>
      </c>
      <c r="B67" s="14" t="s">
        <v>95</v>
      </c>
      <c r="C67" s="14" t="s">
        <v>998</v>
      </c>
      <c r="D67" s="14"/>
      <c r="E67" s="14"/>
      <c r="F67" s="14"/>
      <c r="G67" s="14"/>
      <c r="H67" s="51" t="s">
        <v>810</v>
      </c>
      <c r="I67" s="14"/>
      <c r="J67" s="14" t="s">
        <v>95</v>
      </c>
      <c r="K67" s="14"/>
      <c r="L67" s="14"/>
    </row>
    <row r="68" spans="1:12" ht="15.75" customHeight="1" x14ac:dyDescent="0.25">
      <c r="B68" s="4" t="s">
        <v>17</v>
      </c>
      <c r="C68" s="4"/>
      <c r="D68" s="4" t="s">
        <v>40</v>
      </c>
      <c r="E68" s="3" t="s">
        <v>22</v>
      </c>
      <c r="F68" s="4" t="s">
        <v>576</v>
      </c>
      <c r="G68" s="62"/>
      <c r="H68" s="59"/>
      <c r="I68" s="4" t="s">
        <v>576</v>
      </c>
      <c r="J68" s="4" t="s">
        <v>17</v>
      </c>
      <c r="K68" s="4" t="s">
        <v>834</v>
      </c>
      <c r="L68" s="4" t="s">
        <v>1058</v>
      </c>
    </row>
    <row r="69" spans="1:12" ht="15.75" customHeight="1" x14ac:dyDescent="0.25">
      <c r="B69" s="4" t="s">
        <v>97</v>
      </c>
      <c r="C69" s="4"/>
      <c r="D69" s="4" t="s">
        <v>96</v>
      </c>
      <c r="E69" s="3" t="s">
        <v>68</v>
      </c>
      <c r="F69" s="4" t="s">
        <v>560</v>
      </c>
      <c r="G69" s="32" t="s">
        <v>560</v>
      </c>
      <c r="H69" s="9" t="s">
        <v>533</v>
      </c>
      <c r="I69" s="4" t="s">
        <v>560</v>
      </c>
      <c r="J69" s="4" t="s">
        <v>97</v>
      </c>
      <c r="K69" s="4" t="s">
        <v>26</v>
      </c>
      <c r="L69" s="4" t="s">
        <v>1067</v>
      </c>
    </row>
    <row r="70" spans="1:12" ht="15.75" customHeight="1" x14ac:dyDescent="0.25">
      <c r="B70" s="4"/>
      <c r="C70" s="6"/>
      <c r="D70" s="4" t="s">
        <v>98</v>
      </c>
      <c r="E70" s="3" t="s">
        <v>19</v>
      </c>
      <c r="F70" s="4" t="s">
        <v>551</v>
      </c>
      <c r="G70" s="32" t="s">
        <v>795</v>
      </c>
      <c r="H70" s="9" t="s">
        <v>531</v>
      </c>
      <c r="I70" s="4" t="s">
        <v>551</v>
      </c>
      <c r="J70" s="4"/>
      <c r="K70" s="4" t="s">
        <v>554</v>
      </c>
      <c r="L70" s="4" t="s">
        <v>1045</v>
      </c>
    </row>
    <row r="71" spans="1:12" ht="15.75" customHeight="1" x14ac:dyDescent="0.2">
      <c r="A71" s="53" t="s">
        <v>820</v>
      </c>
      <c r="B71" s="14" t="s">
        <v>99</v>
      </c>
      <c r="C71" s="14" t="s">
        <v>999</v>
      </c>
      <c r="D71" s="14"/>
      <c r="E71" s="14"/>
      <c r="F71" s="14"/>
      <c r="G71" s="14"/>
      <c r="H71" s="51" t="s">
        <v>809</v>
      </c>
      <c r="I71" s="14"/>
      <c r="J71" s="14" t="s">
        <v>99</v>
      </c>
      <c r="K71" s="14"/>
      <c r="L71" s="14"/>
    </row>
    <row r="72" spans="1:12" ht="15.75" customHeight="1" x14ac:dyDescent="0.25">
      <c r="B72" s="4" t="s">
        <v>100</v>
      </c>
      <c r="C72" s="4"/>
      <c r="D72" s="4" t="s">
        <v>40</v>
      </c>
      <c r="E72" s="4" t="s">
        <v>585</v>
      </c>
      <c r="F72" s="4" t="s">
        <v>585</v>
      </c>
      <c r="G72" s="60"/>
      <c r="H72" s="61"/>
      <c r="I72" s="4" t="s">
        <v>585</v>
      </c>
      <c r="J72" s="4" t="s">
        <v>100</v>
      </c>
      <c r="K72" s="57" t="s">
        <v>842</v>
      </c>
      <c r="L72" s="57" t="s">
        <v>1068</v>
      </c>
    </row>
    <row r="73" spans="1:12" ht="15.75" customHeight="1" x14ac:dyDescent="0.25">
      <c r="B73" s="4" t="s">
        <v>101</v>
      </c>
      <c r="C73" s="4"/>
      <c r="D73" s="4" t="s">
        <v>96</v>
      </c>
      <c r="E73" s="4" t="s">
        <v>572</v>
      </c>
      <c r="F73" s="4" t="s">
        <v>572</v>
      </c>
      <c r="G73" s="60"/>
      <c r="H73" s="61"/>
      <c r="I73" s="4" t="s">
        <v>572</v>
      </c>
      <c r="J73" s="4" t="s">
        <v>101</v>
      </c>
      <c r="K73" s="4" t="s">
        <v>602</v>
      </c>
      <c r="L73" s="4" t="s">
        <v>1069</v>
      </c>
    </row>
    <row r="74" spans="1:12" ht="15.75" customHeight="1" x14ac:dyDescent="0.25">
      <c r="B74" s="4"/>
      <c r="C74" s="6"/>
      <c r="D74" s="4" t="s">
        <v>98</v>
      </c>
      <c r="E74" s="4" t="s">
        <v>62</v>
      </c>
      <c r="F74" s="4" t="s">
        <v>62</v>
      </c>
      <c r="G74" s="60"/>
      <c r="H74" s="61"/>
      <c r="I74" s="4" t="s">
        <v>62</v>
      </c>
      <c r="J74" s="4"/>
      <c r="K74" s="4" t="s">
        <v>561</v>
      </c>
      <c r="L74" s="4" t="s">
        <v>1070</v>
      </c>
    </row>
    <row r="75" spans="1:12" ht="15.75" customHeight="1" x14ac:dyDescent="0.2">
      <c r="A75" s="20" t="s">
        <v>820</v>
      </c>
      <c r="B75" s="14" t="s">
        <v>102</v>
      </c>
      <c r="C75" s="14" t="s">
        <v>1000</v>
      </c>
      <c r="D75" s="14"/>
      <c r="E75" s="14"/>
      <c r="F75" s="14"/>
      <c r="G75" s="14"/>
      <c r="H75" s="51" t="s">
        <v>808</v>
      </c>
      <c r="I75" s="14"/>
      <c r="J75" s="14" t="s">
        <v>102</v>
      </c>
      <c r="K75" s="14"/>
      <c r="L75" s="14"/>
    </row>
    <row r="76" spans="1:12" ht="15.75" customHeight="1" x14ac:dyDescent="0.25">
      <c r="B76" s="4" t="s">
        <v>844</v>
      </c>
      <c r="C76" s="4"/>
      <c r="D76" s="4" t="s">
        <v>40</v>
      </c>
      <c r="E76" s="3" t="s">
        <v>551</v>
      </c>
      <c r="F76" s="3" t="s">
        <v>551</v>
      </c>
      <c r="G76" s="32" t="s">
        <v>76</v>
      </c>
      <c r="H76" s="9" t="s">
        <v>542</v>
      </c>
      <c r="I76" s="4" t="s">
        <v>76</v>
      </c>
      <c r="J76" s="4" t="s">
        <v>629</v>
      </c>
      <c r="K76" s="9" t="s">
        <v>76</v>
      </c>
      <c r="L76" s="9" t="s">
        <v>1071</v>
      </c>
    </row>
    <row r="77" spans="1:12" ht="15.75" customHeight="1" x14ac:dyDescent="0.25">
      <c r="A77" s="56" t="s">
        <v>821</v>
      </c>
      <c r="B77" s="14" t="s">
        <v>103</v>
      </c>
      <c r="C77" s="14" t="s">
        <v>1001</v>
      </c>
      <c r="D77" s="14"/>
      <c r="E77" s="14"/>
      <c r="F77" s="14"/>
      <c r="G77" s="14"/>
      <c r="H77" s="51" t="s">
        <v>808</v>
      </c>
      <c r="I77" s="14"/>
      <c r="J77" s="14" t="s">
        <v>103</v>
      </c>
      <c r="K77" s="14"/>
      <c r="L77" s="14"/>
    </row>
    <row r="78" spans="1:12" ht="15.75" customHeight="1" x14ac:dyDescent="0.25">
      <c r="B78" s="4" t="s">
        <v>629</v>
      </c>
      <c r="C78" s="4"/>
      <c r="D78" s="4" t="s">
        <v>40</v>
      </c>
      <c r="E78" s="3" t="s">
        <v>19</v>
      </c>
      <c r="F78" s="4" t="s">
        <v>551</v>
      </c>
      <c r="G78" s="60"/>
      <c r="H78" s="61"/>
      <c r="I78" s="4" t="s">
        <v>551</v>
      </c>
      <c r="J78" s="4" t="s">
        <v>629</v>
      </c>
      <c r="K78" s="9" t="s">
        <v>551</v>
      </c>
      <c r="L78" s="9" t="s">
        <v>1040</v>
      </c>
    </row>
    <row r="79" spans="1:12" ht="15.75" customHeight="1" x14ac:dyDescent="0.2">
      <c r="A79" s="20" t="s">
        <v>820</v>
      </c>
      <c r="B79" s="14" t="s">
        <v>104</v>
      </c>
      <c r="C79" s="14" t="s">
        <v>1002</v>
      </c>
      <c r="D79" s="14"/>
      <c r="E79" s="14"/>
      <c r="F79" s="14"/>
      <c r="G79" s="14"/>
      <c r="H79" s="51" t="s">
        <v>808</v>
      </c>
      <c r="I79" s="14"/>
      <c r="J79" s="14" t="s">
        <v>104</v>
      </c>
      <c r="K79" s="14"/>
      <c r="L79" s="14"/>
    </row>
    <row r="80" spans="1:12" ht="15.75" customHeight="1" x14ac:dyDescent="0.25">
      <c r="B80" s="4" t="s">
        <v>1015</v>
      </c>
      <c r="C80" s="4"/>
      <c r="D80" s="4" t="s">
        <v>40</v>
      </c>
      <c r="E80" s="3" t="s">
        <v>600</v>
      </c>
      <c r="F80" s="3" t="s">
        <v>600</v>
      </c>
      <c r="G80" s="32" t="s">
        <v>567</v>
      </c>
      <c r="H80" s="9" t="s">
        <v>535</v>
      </c>
      <c r="I80" s="4" t="s">
        <v>567</v>
      </c>
      <c r="J80" s="4" t="s">
        <v>629</v>
      </c>
      <c r="K80" s="9" t="s">
        <v>843</v>
      </c>
      <c r="L80" s="9" t="s">
        <v>1072</v>
      </c>
    </row>
    <row r="81" spans="1:12" ht="15.75" customHeight="1" x14ac:dyDescent="0.2">
      <c r="A81" s="20" t="s">
        <v>820</v>
      </c>
      <c r="B81" s="14" t="s">
        <v>105</v>
      </c>
      <c r="C81" s="14" t="s">
        <v>1003</v>
      </c>
      <c r="D81" s="14"/>
      <c r="E81" s="14"/>
      <c r="F81" s="14"/>
      <c r="G81" s="14"/>
      <c r="H81" s="51" t="s">
        <v>808</v>
      </c>
      <c r="I81" s="14"/>
      <c r="J81" s="14" t="s">
        <v>105</v>
      </c>
      <c r="K81" s="14"/>
      <c r="L81" s="14"/>
    </row>
    <row r="82" spans="1:12" ht="15.75" customHeight="1" x14ac:dyDescent="0.25">
      <c r="B82" s="4" t="s">
        <v>845</v>
      </c>
      <c r="C82" s="4"/>
      <c r="D82" s="4" t="s">
        <v>40</v>
      </c>
      <c r="E82" s="3" t="s">
        <v>36</v>
      </c>
      <c r="F82" s="3" t="s">
        <v>36</v>
      </c>
      <c r="G82" s="32" t="s">
        <v>601</v>
      </c>
      <c r="H82" s="9" t="s">
        <v>546</v>
      </c>
      <c r="I82" s="4" t="s">
        <v>601</v>
      </c>
      <c r="J82" s="4" t="s">
        <v>629</v>
      </c>
      <c r="K82" s="9" t="s">
        <v>835</v>
      </c>
      <c r="L82" s="9" t="s">
        <v>1073</v>
      </c>
    </row>
    <row r="83" spans="1:12" ht="15.75" customHeight="1" x14ac:dyDescent="0.2">
      <c r="A83" s="20" t="s">
        <v>821</v>
      </c>
      <c r="B83" s="14" t="s">
        <v>106</v>
      </c>
      <c r="C83" s="14" t="s">
        <v>1004</v>
      </c>
      <c r="D83" s="14"/>
      <c r="E83" s="14"/>
      <c r="F83" s="14"/>
      <c r="G83" s="14"/>
      <c r="H83" s="51" t="s">
        <v>808</v>
      </c>
      <c r="I83" s="14"/>
      <c r="J83" s="14" t="s">
        <v>106</v>
      </c>
      <c r="K83" s="14"/>
      <c r="L83" s="14"/>
    </row>
    <row r="84" spans="1:12" ht="15.75" customHeight="1" x14ac:dyDescent="0.25">
      <c r="B84" s="4" t="s">
        <v>1014</v>
      </c>
      <c r="C84" s="4"/>
      <c r="D84" s="4" t="s">
        <v>40</v>
      </c>
      <c r="E84" s="3" t="s">
        <v>29</v>
      </c>
      <c r="F84" s="4" t="s">
        <v>91</v>
      </c>
      <c r="G84" s="62"/>
      <c r="H84" s="59"/>
      <c r="I84" s="4" t="s">
        <v>91</v>
      </c>
      <c r="J84" s="4" t="s">
        <v>629</v>
      </c>
      <c r="K84" s="9" t="s">
        <v>29</v>
      </c>
      <c r="L84" s="9" t="s">
        <v>1074</v>
      </c>
    </row>
    <row r="85" spans="1:12" ht="15.75" customHeight="1" x14ac:dyDescent="0.2">
      <c r="A85" s="84" t="s">
        <v>989</v>
      </c>
      <c r="B85" s="84" t="s">
        <v>989</v>
      </c>
      <c r="C85" s="84" t="s">
        <v>989</v>
      </c>
      <c r="D85" s="84" t="s">
        <v>989</v>
      </c>
      <c r="E85" s="84" t="s">
        <v>989</v>
      </c>
      <c r="F85" s="84" t="s">
        <v>989</v>
      </c>
      <c r="G85" s="84" t="s">
        <v>989</v>
      </c>
      <c r="H85" s="84" t="s">
        <v>989</v>
      </c>
      <c r="I85" s="84" t="s">
        <v>989</v>
      </c>
      <c r="J85" s="84" t="s">
        <v>989</v>
      </c>
      <c r="K85" s="84" t="s">
        <v>989</v>
      </c>
      <c r="L85" s="84" t="s">
        <v>989</v>
      </c>
    </row>
    <row r="86" spans="1:12" ht="15.75" customHeight="1" x14ac:dyDescent="0.2"/>
    <row r="87" spans="1:12" ht="15.75" customHeight="1" x14ac:dyDescent="0.2"/>
    <row r="88" spans="1:12" ht="15.75" customHeight="1" x14ac:dyDescent="0.2"/>
    <row r="89" spans="1:12" ht="15.75" customHeight="1" x14ac:dyDescent="0.2"/>
    <row r="90" spans="1:12" ht="15.75" customHeight="1" x14ac:dyDescent="0.2"/>
    <row r="91" spans="1:12" ht="15.75" customHeight="1" x14ac:dyDescent="0.2">
      <c r="B91" t="s">
        <v>1016</v>
      </c>
    </row>
    <row r="92" spans="1:12" ht="15.75" customHeight="1" x14ac:dyDescent="0.2"/>
    <row r="93" spans="1:12" ht="15.75" customHeight="1" x14ac:dyDescent="0.2"/>
    <row r="94" spans="1:12" ht="15.75" customHeight="1" x14ac:dyDescent="0.2"/>
    <row r="95" spans="1:12" ht="15.75" customHeight="1" x14ac:dyDescent="0.2"/>
    <row r="96" spans="1:12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  <row r="1008" ht="15.75" customHeight="1" x14ac:dyDescent="0.2"/>
    <row r="1009" ht="15.75" customHeight="1" x14ac:dyDescent="0.2"/>
    <row r="1010" ht="15.75" customHeight="1" x14ac:dyDescent="0.2"/>
    <row r="1011" ht="15.75" customHeight="1" x14ac:dyDescent="0.2"/>
    <row r="1012" ht="15.75" customHeight="1" x14ac:dyDescent="0.2"/>
    <row r="1013" ht="15.75" customHeight="1" x14ac:dyDescent="0.2"/>
    <row r="1014" ht="15.75" customHeight="1" x14ac:dyDescent="0.2"/>
    <row r="1015" ht="15.75" customHeight="1" x14ac:dyDescent="0.2"/>
    <row r="1016" ht="15.75" customHeight="1" x14ac:dyDescent="0.2"/>
    <row r="1017" ht="15.75" customHeight="1" x14ac:dyDescent="0.2"/>
  </sheetData>
  <pageMargins left="0.7" right="0.7" top="0.75" bottom="0.75" header="0" footer="0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'Data-Templates'!$U$5:$U$7</xm:f>
          </x14:formula1>
          <xm:sqref>H11 H83 H81 H79 H77 H75 H71 H67 H53 H48 H36 H30 H24 H18 H3 L3 L18 L24 L30 L36 L48 L53 L67 L71 L75 L77 L79 L81 L83 L11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topLeftCell="A40" workbookViewId="0"/>
  </sheetViews>
  <sheetFormatPr defaultRowHeight="14.2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O87"/>
  <sheetViews>
    <sheetView zoomScale="70" zoomScaleNormal="70" workbookViewId="0"/>
  </sheetViews>
  <sheetFormatPr defaultColWidth="31.625" defaultRowHeight="14.25" x14ac:dyDescent="0.2"/>
  <cols>
    <col min="1" max="1" width="30.5" style="161" bestFit="1" customWidth="1"/>
    <col min="2" max="2" width="31.625" style="161"/>
    <col min="3" max="3" width="20.125" style="161" bestFit="1" customWidth="1"/>
    <col min="4" max="4" width="8.875" style="66" bestFit="1" customWidth="1"/>
    <col min="5" max="5" width="23.5" bestFit="1" customWidth="1"/>
    <col min="6" max="6" width="31.625" style="140"/>
    <col min="7" max="7" width="20" bestFit="1" customWidth="1"/>
    <col min="8" max="8" width="20.125" bestFit="1" customWidth="1"/>
    <col min="9" max="9" width="9.125" bestFit="1" customWidth="1"/>
    <col min="10" max="10" width="11.25" bestFit="1" customWidth="1"/>
    <col min="11" max="11" width="16" bestFit="1" customWidth="1"/>
    <col min="12" max="12" width="12.75" bestFit="1" customWidth="1"/>
    <col min="13" max="13" width="33.125" bestFit="1" customWidth="1"/>
    <col min="14" max="14" width="26.25" bestFit="1" customWidth="1"/>
    <col min="15" max="15" width="33.75" bestFit="1" customWidth="1"/>
  </cols>
  <sheetData>
    <row r="1" spans="1:15" ht="15" x14ac:dyDescent="0.25">
      <c r="J1" s="143"/>
      <c r="K1" s="144" t="s">
        <v>320</v>
      </c>
      <c r="L1" s="145" t="s">
        <v>321</v>
      </c>
      <c r="M1" s="146" t="s">
        <v>253</v>
      </c>
    </row>
    <row r="2" spans="1:15" ht="15" x14ac:dyDescent="0.25">
      <c r="J2" s="147" t="s">
        <v>1013</v>
      </c>
      <c r="K2" s="144">
        <v>48</v>
      </c>
      <c r="L2" s="145">
        <v>13</v>
      </c>
      <c r="M2" s="146">
        <v>16</v>
      </c>
    </row>
    <row r="3" spans="1:15" ht="15" x14ac:dyDescent="0.25">
      <c r="E3" s="173" t="s">
        <v>847</v>
      </c>
      <c r="F3" s="173"/>
      <c r="G3" s="173"/>
      <c r="H3" s="173"/>
      <c r="I3" s="173"/>
      <c r="J3" s="80"/>
      <c r="K3" s="80"/>
      <c r="L3" s="80"/>
      <c r="M3" s="80"/>
    </row>
    <row r="4" spans="1:15" x14ac:dyDescent="0.2">
      <c r="E4" s="173"/>
      <c r="F4" s="173"/>
      <c r="G4" s="173"/>
      <c r="H4" s="173"/>
      <c r="I4" s="173"/>
      <c r="J4" s="40"/>
    </row>
    <row r="5" spans="1:15" x14ac:dyDescent="0.2">
      <c r="D5" s="142"/>
      <c r="E5" s="174"/>
      <c r="F5" s="174"/>
      <c r="G5" s="174"/>
      <c r="H5" s="174"/>
      <c r="I5" s="174"/>
      <c r="J5" s="40"/>
    </row>
    <row r="6" spans="1:15" ht="25.5" x14ac:dyDescent="0.2">
      <c r="A6" s="19" t="s">
        <v>1159</v>
      </c>
      <c r="B6" s="63" t="s">
        <v>109</v>
      </c>
      <c r="C6" s="19" t="s">
        <v>1160</v>
      </c>
      <c r="D6" s="63" t="s">
        <v>326</v>
      </c>
      <c r="E6" s="63" t="s">
        <v>110</v>
      </c>
      <c r="F6" s="63" t="s">
        <v>109</v>
      </c>
      <c r="G6" s="136" t="s">
        <v>848</v>
      </c>
      <c r="H6" s="63" t="s">
        <v>849</v>
      </c>
      <c r="I6" s="63" t="s">
        <v>107</v>
      </c>
      <c r="J6" s="63" t="s">
        <v>891</v>
      </c>
      <c r="K6" s="63" t="s">
        <v>255</v>
      </c>
      <c r="L6" s="63" t="s">
        <v>256</v>
      </c>
      <c r="M6" s="63" t="s">
        <v>892</v>
      </c>
      <c r="N6" s="63" t="s">
        <v>893</v>
      </c>
      <c r="O6" s="19" t="s">
        <v>1075</v>
      </c>
    </row>
    <row r="7" spans="1:15" ht="28.5" x14ac:dyDescent="0.2">
      <c r="A7" s="162" t="s">
        <v>1158</v>
      </c>
      <c r="B7" s="138" t="s">
        <v>128</v>
      </c>
      <c r="C7" s="162" t="s">
        <v>1158</v>
      </c>
      <c r="D7" s="39" t="s">
        <v>814</v>
      </c>
      <c r="E7" s="107" t="s">
        <v>127</v>
      </c>
      <c r="F7" s="138" t="s">
        <v>128</v>
      </c>
      <c r="G7" s="107" t="s">
        <v>1018</v>
      </c>
      <c r="H7" s="107" t="s">
        <v>129</v>
      </c>
      <c r="I7" s="107" t="s">
        <v>333</v>
      </c>
      <c r="J7" s="108" t="s">
        <v>321</v>
      </c>
      <c r="K7" s="108" t="s">
        <v>262</v>
      </c>
      <c r="L7" s="108" t="s">
        <v>458</v>
      </c>
      <c r="M7" s="108" t="s">
        <v>550</v>
      </c>
      <c r="N7" s="108" t="s">
        <v>1021</v>
      </c>
      <c r="O7" s="107" t="s">
        <v>556</v>
      </c>
    </row>
    <row r="8" spans="1:15" x14ac:dyDescent="0.2">
      <c r="A8" s="162" t="s">
        <v>1158</v>
      </c>
      <c r="B8" s="138" t="s">
        <v>161</v>
      </c>
      <c r="C8" s="162" t="s">
        <v>1158</v>
      </c>
      <c r="D8" s="39" t="s">
        <v>814</v>
      </c>
      <c r="E8" s="107" t="s">
        <v>226</v>
      </c>
      <c r="F8" s="138" t="s">
        <v>161</v>
      </c>
      <c r="G8" s="107" t="s">
        <v>1018</v>
      </c>
      <c r="H8" s="107" t="s">
        <v>227</v>
      </c>
      <c r="I8" s="107" t="s">
        <v>418</v>
      </c>
      <c r="J8" s="108" t="s">
        <v>321</v>
      </c>
      <c r="K8" s="108" t="s">
        <v>307</v>
      </c>
      <c r="L8" s="108" t="s">
        <v>514</v>
      </c>
      <c r="M8" s="108" t="s">
        <v>551</v>
      </c>
      <c r="N8" s="108" t="s">
        <v>1028</v>
      </c>
      <c r="O8" s="107" t="s">
        <v>599</v>
      </c>
    </row>
    <row r="9" spans="1:15" x14ac:dyDescent="0.2">
      <c r="A9" s="162" t="s">
        <v>1158</v>
      </c>
      <c r="B9" s="139" t="s">
        <v>141</v>
      </c>
      <c r="C9" s="162" t="s">
        <v>1158</v>
      </c>
      <c r="D9" s="39" t="s">
        <v>814</v>
      </c>
      <c r="E9" s="81" t="s">
        <v>874</v>
      </c>
      <c r="F9" s="139" t="s">
        <v>141</v>
      </c>
      <c r="G9" s="81" t="s">
        <v>850</v>
      </c>
      <c r="H9" s="81" t="s">
        <v>229</v>
      </c>
      <c r="I9" s="81" t="s">
        <v>419</v>
      </c>
      <c r="J9" s="83" t="s">
        <v>253</v>
      </c>
      <c r="K9" s="83" t="s">
        <v>908</v>
      </c>
      <c r="L9" s="83" t="s">
        <v>909</v>
      </c>
      <c r="M9" s="83" t="s">
        <v>967</v>
      </c>
      <c r="N9" s="83" t="s">
        <v>982</v>
      </c>
      <c r="O9" s="81" t="s">
        <v>934</v>
      </c>
    </row>
    <row r="10" spans="1:15" x14ac:dyDescent="0.2">
      <c r="A10" s="162" t="s">
        <v>1158</v>
      </c>
      <c r="B10" s="137" t="s">
        <v>114</v>
      </c>
      <c r="C10" s="162" t="s">
        <v>1158</v>
      </c>
      <c r="D10" s="39" t="s">
        <v>814</v>
      </c>
      <c r="E10" s="79" t="s">
        <v>164</v>
      </c>
      <c r="F10" s="137" t="s">
        <v>114</v>
      </c>
      <c r="G10" s="79" t="s">
        <v>115</v>
      </c>
      <c r="H10" s="79" t="s">
        <v>166</v>
      </c>
      <c r="I10" s="79" t="s">
        <v>367</v>
      </c>
      <c r="J10" s="82" t="s">
        <v>320</v>
      </c>
      <c r="K10" s="82" t="s">
        <v>278</v>
      </c>
      <c r="L10" s="82" t="s">
        <v>480</v>
      </c>
      <c r="M10" s="82" t="s">
        <v>553</v>
      </c>
      <c r="N10" s="82" t="s">
        <v>933</v>
      </c>
      <c r="O10" s="79" t="s">
        <v>571</v>
      </c>
    </row>
    <row r="11" spans="1:15" x14ac:dyDescent="0.2">
      <c r="A11" s="162" t="s">
        <v>1158</v>
      </c>
      <c r="B11" s="139" t="s">
        <v>141</v>
      </c>
      <c r="C11" s="162" t="s">
        <v>1158</v>
      </c>
      <c r="D11" s="39" t="s">
        <v>814</v>
      </c>
      <c r="E11" s="81" t="s">
        <v>210</v>
      </c>
      <c r="F11" s="139" t="s">
        <v>141</v>
      </c>
      <c r="G11" s="81" t="s">
        <v>850</v>
      </c>
      <c r="H11" s="81" t="s">
        <v>211</v>
      </c>
      <c r="I11" s="81" t="s">
        <v>404</v>
      </c>
      <c r="J11" s="83" t="s">
        <v>253</v>
      </c>
      <c r="K11" s="83" t="s">
        <v>299</v>
      </c>
      <c r="L11" s="83" t="s">
        <v>504</v>
      </c>
      <c r="M11" s="83" t="s">
        <v>554</v>
      </c>
      <c r="N11" s="83" t="s">
        <v>977</v>
      </c>
      <c r="O11" s="81" t="s">
        <v>41</v>
      </c>
    </row>
    <row r="12" spans="1:15" x14ac:dyDescent="0.2">
      <c r="A12" s="162" t="s">
        <v>1157</v>
      </c>
      <c r="B12" s="137" t="s">
        <v>165</v>
      </c>
      <c r="C12" s="162" t="s">
        <v>1157</v>
      </c>
      <c r="D12" s="39" t="s">
        <v>814</v>
      </c>
      <c r="E12" s="79" t="s">
        <v>368</v>
      </c>
      <c r="F12" s="137" t="s">
        <v>165</v>
      </c>
      <c r="G12" s="79" t="s">
        <v>115</v>
      </c>
      <c r="H12" s="79" t="s">
        <v>369</v>
      </c>
      <c r="I12" s="79" t="s">
        <v>370</v>
      </c>
      <c r="J12" s="82" t="s">
        <v>320</v>
      </c>
      <c r="K12" s="82" t="s">
        <v>445</v>
      </c>
      <c r="L12" s="82" t="s">
        <v>481</v>
      </c>
      <c r="M12" s="82" t="s">
        <v>555</v>
      </c>
      <c r="N12" s="82" t="s">
        <v>935</v>
      </c>
      <c r="O12" s="79" t="s">
        <v>572</v>
      </c>
    </row>
    <row r="13" spans="1:15" ht="28.5" x14ac:dyDescent="0.2">
      <c r="A13" s="162" t="s">
        <v>1158</v>
      </c>
      <c r="B13" s="138" t="s">
        <v>383</v>
      </c>
      <c r="C13" s="162" t="s">
        <v>1158</v>
      </c>
      <c r="D13" s="39" t="s">
        <v>814</v>
      </c>
      <c r="E13" s="107" t="s">
        <v>193</v>
      </c>
      <c r="F13" s="138" t="s">
        <v>383</v>
      </c>
      <c r="G13" s="107" t="s">
        <v>1018</v>
      </c>
      <c r="H13" s="107" t="s">
        <v>195</v>
      </c>
      <c r="I13" s="107" t="s">
        <v>384</v>
      </c>
      <c r="J13" s="108" t="s">
        <v>321</v>
      </c>
      <c r="K13" s="108" t="s">
        <v>291</v>
      </c>
      <c r="L13" s="108" t="s">
        <v>494</v>
      </c>
      <c r="M13" s="108" t="s">
        <v>556</v>
      </c>
      <c r="N13" s="108" t="s">
        <v>1025</v>
      </c>
      <c r="O13" s="107" t="s">
        <v>915</v>
      </c>
    </row>
    <row r="14" spans="1:15" x14ac:dyDescent="0.2">
      <c r="A14" s="162" t="s">
        <v>1158</v>
      </c>
      <c r="B14" s="137" t="s">
        <v>114</v>
      </c>
      <c r="C14" s="162" t="s">
        <v>1158</v>
      </c>
      <c r="D14" s="39" t="s">
        <v>814</v>
      </c>
      <c r="E14" s="79" t="s">
        <v>120</v>
      </c>
      <c r="F14" s="137" t="s">
        <v>114</v>
      </c>
      <c r="G14" s="79" t="s">
        <v>115</v>
      </c>
      <c r="H14" s="79" t="s">
        <v>121</v>
      </c>
      <c r="I14" s="79" t="s">
        <v>330</v>
      </c>
      <c r="J14" s="82" t="s">
        <v>320</v>
      </c>
      <c r="K14" s="82" t="s">
        <v>259</v>
      </c>
      <c r="L14" s="82" t="s">
        <v>455</v>
      </c>
      <c r="M14" s="82" t="s">
        <v>85</v>
      </c>
      <c r="N14" s="82" t="s">
        <v>913</v>
      </c>
      <c r="O14" s="79" t="s">
        <v>967</v>
      </c>
    </row>
    <row r="15" spans="1:15" ht="42.75" x14ac:dyDescent="0.2">
      <c r="A15" s="162" t="s">
        <v>1158</v>
      </c>
      <c r="B15" s="138" t="s">
        <v>251</v>
      </c>
      <c r="C15" s="162" t="s">
        <v>1158</v>
      </c>
      <c r="D15" s="39" t="s">
        <v>814</v>
      </c>
      <c r="E15" s="107" t="s">
        <v>250</v>
      </c>
      <c r="F15" s="138" t="s">
        <v>251</v>
      </c>
      <c r="G15" s="107" t="s">
        <v>1018</v>
      </c>
      <c r="H15" s="107" t="s">
        <v>252</v>
      </c>
      <c r="I15" s="107" t="s">
        <v>438</v>
      </c>
      <c r="J15" s="108" t="s">
        <v>321</v>
      </c>
      <c r="K15" s="108" t="s">
        <v>319</v>
      </c>
      <c r="L15" s="108" t="s">
        <v>528</v>
      </c>
      <c r="M15" s="108" t="s">
        <v>53</v>
      </c>
      <c r="N15" s="108" t="s">
        <v>1032</v>
      </c>
      <c r="O15" s="107" t="s">
        <v>968</v>
      </c>
    </row>
    <row r="16" spans="1:15" x14ac:dyDescent="0.2">
      <c r="A16" s="162" t="s">
        <v>1158</v>
      </c>
      <c r="B16" s="137" t="s">
        <v>125</v>
      </c>
      <c r="C16" s="162" t="s">
        <v>1158</v>
      </c>
      <c r="D16" s="39" t="s">
        <v>814</v>
      </c>
      <c r="E16" s="79" t="s">
        <v>189</v>
      </c>
      <c r="F16" s="137" t="s">
        <v>125</v>
      </c>
      <c r="G16" s="79" t="s">
        <v>115</v>
      </c>
      <c r="H16" s="79" t="s">
        <v>190</v>
      </c>
      <c r="I16" s="79" t="s">
        <v>381</v>
      </c>
      <c r="J16" s="82" t="s">
        <v>320</v>
      </c>
      <c r="K16" s="82" t="s">
        <v>289</v>
      </c>
      <c r="L16" s="82" t="s">
        <v>492</v>
      </c>
      <c r="M16" s="82" t="s">
        <v>557</v>
      </c>
      <c r="N16" s="82" t="s">
        <v>943</v>
      </c>
      <c r="O16" s="79" t="s">
        <v>582</v>
      </c>
    </row>
    <row r="17" spans="1:15" x14ac:dyDescent="0.2">
      <c r="A17" s="162" t="s">
        <v>1158</v>
      </c>
      <c r="B17" s="137" t="s">
        <v>114</v>
      </c>
      <c r="C17" s="162" t="s">
        <v>1158</v>
      </c>
      <c r="D17" s="39" t="s">
        <v>814</v>
      </c>
      <c r="E17" s="79" t="s">
        <v>159</v>
      </c>
      <c r="F17" s="137" t="s">
        <v>114</v>
      </c>
      <c r="G17" s="79" t="s">
        <v>115</v>
      </c>
      <c r="H17" s="79" t="s">
        <v>160</v>
      </c>
      <c r="I17" s="79" t="s">
        <v>359</v>
      </c>
      <c r="J17" s="82" t="s">
        <v>320</v>
      </c>
      <c r="K17" s="82" t="s">
        <v>276</v>
      </c>
      <c r="L17" s="82" t="s">
        <v>476</v>
      </c>
      <c r="M17" s="82" t="s">
        <v>558</v>
      </c>
      <c r="N17" s="82" t="s">
        <v>929</v>
      </c>
      <c r="O17" s="79" t="s">
        <v>569</v>
      </c>
    </row>
    <row r="18" spans="1:15" x14ac:dyDescent="0.2">
      <c r="A18" s="162" t="s">
        <v>1158</v>
      </c>
      <c r="B18" s="137" t="s">
        <v>125</v>
      </c>
      <c r="C18" s="162" t="s">
        <v>1158</v>
      </c>
      <c r="D18" s="39" t="s">
        <v>814</v>
      </c>
      <c r="E18" s="79" t="s">
        <v>182</v>
      </c>
      <c r="F18" s="137" t="s">
        <v>125</v>
      </c>
      <c r="G18" s="79" t="s">
        <v>115</v>
      </c>
      <c r="H18" s="79" t="s">
        <v>183</v>
      </c>
      <c r="I18" s="79" t="s">
        <v>378</v>
      </c>
      <c r="J18" s="82" t="s">
        <v>320</v>
      </c>
      <c r="K18" s="82" t="s">
        <v>286</v>
      </c>
      <c r="L18" s="82" t="s">
        <v>489</v>
      </c>
      <c r="M18" s="82" t="s">
        <v>559</v>
      </c>
      <c r="N18" s="82" t="s">
        <v>942</v>
      </c>
      <c r="O18" s="79" t="s">
        <v>77</v>
      </c>
    </row>
    <row r="19" spans="1:15" x14ac:dyDescent="0.2">
      <c r="A19" s="162" t="s">
        <v>1158</v>
      </c>
      <c r="B19" s="137" t="s">
        <v>125</v>
      </c>
      <c r="C19" s="162" t="s">
        <v>1158</v>
      </c>
      <c r="D19" s="39" t="s">
        <v>814</v>
      </c>
      <c r="E19" s="79" t="s">
        <v>130</v>
      </c>
      <c r="F19" s="137" t="s">
        <v>125</v>
      </c>
      <c r="G19" s="79" t="s">
        <v>115</v>
      </c>
      <c r="H19" s="79" t="s">
        <v>131</v>
      </c>
      <c r="I19" s="79" t="s">
        <v>334</v>
      </c>
      <c r="J19" s="82" t="s">
        <v>320</v>
      </c>
      <c r="K19" s="82" t="s">
        <v>263</v>
      </c>
      <c r="L19" s="82" t="s">
        <v>459</v>
      </c>
      <c r="M19" s="82" t="s">
        <v>561</v>
      </c>
      <c r="N19" s="82" t="s">
        <v>918</v>
      </c>
      <c r="O19" s="79" t="s">
        <v>85</v>
      </c>
    </row>
    <row r="20" spans="1:15" x14ac:dyDescent="0.2">
      <c r="A20" s="162" t="s">
        <v>1158</v>
      </c>
      <c r="B20" s="139" t="s">
        <v>141</v>
      </c>
      <c r="C20" s="162" t="s">
        <v>1158</v>
      </c>
      <c r="D20" s="39" t="s">
        <v>814</v>
      </c>
      <c r="E20" s="81" t="s">
        <v>196</v>
      </c>
      <c r="F20" s="139" t="s">
        <v>141</v>
      </c>
      <c r="G20" s="81" t="s">
        <v>850</v>
      </c>
      <c r="H20" s="81" t="s">
        <v>197</v>
      </c>
      <c r="I20" s="81" t="s">
        <v>385</v>
      </c>
      <c r="J20" s="83" t="s">
        <v>253</v>
      </c>
      <c r="K20" s="83" t="s">
        <v>292</v>
      </c>
      <c r="L20" s="83" t="s">
        <v>495</v>
      </c>
      <c r="M20" s="83" t="s">
        <v>562</v>
      </c>
      <c r="N20" s="83" t="s">
        <v>973</v>
      </c>
      <c r="O20" s="81" t="s">
        <v>584</v>
      </c>
    </row>
    <row r="21" spans="1:15" x14ac:dyDescent="0.2">
      <c r="A21" s="162" t="s">
        <v>1158</v>
      </c>
      <c r="B21" s="137" t="s">
        <v>114</v>
      </c>
      <c r="C21" s="162" t="s">
        <v>1158</v>
      </c>
      <c r="D21" s="39" t="s">
        <v>814</v>
      </c>
      <c r="E21" s="79" t="s">
        <v>214</v>
      </c>
      <c r="F21" s="137" t="s">
        <v>114</v>
      </c>
      <c r="G21" s="79" t="s">
        <v>115</v>
      </c>
      <c r="H21" s="79" t="s">
        <v>215</v>
      </c>
      <c r="I21" s="79" t="s">
        <v>409</v>
      </c>
      <c r="J21" s="82" t="s">
        <v>320</v>
      </c>
      <c r="K21" s="82" t="s">
        <v>301</v>
      </c>
      <c r="L21" s="82" t="s">
        <v>507</v>
      </c>
      <c r="M21" s="82" t="s">
        <v>563</v>
      </c>
      <c r="N21" s="82" t="s">
        <v>955</v>
      </c>
      <c r="O21" s="79" t="s">
        <v>29</v>
      </c>
    </row>
    <row r="22" spans="1:15" ht="28.5" x14ac:dyDescent="0.2">
      <c r="A22" s="162" t="s">
        <v>1158</v>
      </c>
      <c r="B22" s="138" t="s">
        <v>185</v>
      </c>
      <c r="C22" s="162" t="s">
        <v>1158</v>
      </c>
      <c r="D22" s="39" t="s">
        <v>814</v>
      </c>
      <c r="E22" s="107" t="s">
        <v>858</v>
      </c>
      <c r="F22" s="138" t="s">
        <v>185</v>
      </c>
      <c r="G22" s="107" t="s">
        <v>1018</v>
      </c>
      <c r="H22" s="107" t="s">
        <v>186</v>
      </c>
      <c r="I22" s="107" t="s">
        <v>379</v>
      </c>
      <c r="J22" s="108" t="s">
        <v>321</v>
      </c>
      <c r="K22" s="108" t="s">
        <v>287</v>
      </c>
      <c r="L22" s="108" t="s">
        <v>490</v>
      </c>
      <c r="M22" s="108" t="s">
        <v>564</v>
      </c>
      <c r="N22" s="108" t="s">
        <v>1024</v>
      </c>
      <c r="O22" s="107" t="s">
        <v>580</v>
      </c>
    </row>
    <row r="23" spans="1:15" x14ac:dyDescent="0.2">
      <c r="A23" s="162" t="s">
        <v>1158</v>
      </c>
      <c r="B23" s="139" t="s">
        <v>141</v>
      </c>
      <c r="C23" s="162" t="s">
        <v>1158</v>
      </c>
      <c r="D23" s="39" t="s">
        <v>814</v>
      </c>
      <c r="E23" s="81" t="s">
        <v>350</v>
      </c>
      <c r="F23" s="139" t="s">
        <v>141</v>
      </c>
      <c r="G23" s="81" t="s">
        <v>850</v>
      </c>
      <c r="H23" s="81" t="s">
        <v>351</v>
      </c>
      <c r="I23" s="81" t="s">
        <v>352</v>
      </c>
      <c r="J23" s="83" t="s">
        <v>253</v>
      </c>
      <c r="K23" s="83" t="s">
        <v>441</v>
      </c>
      <c r="L23" s="83" t="s">
        <v>471</v>
      </c>
      <c r="M23" s="83" t="s">
        <v>565</v>
      </c>
      <c r="N23" s="83" t="s">
        <v>970</v>
      </c>
      <c r="O23" s="81" t="s">
        <v>960</v>
      </c>
    </row>
    <row r="24" spans="1:15" x14ac:dyDescent="0.2">
      <c r="A24" s="162" t="s">
        <v>1158</v>
      </c>
      <c r="B24" s="137" t="s">
        <v>114</v>
      </c>
      <c r="C24" s="162" t="s">
        <v>1158</v>
      </c>
      <c r="D24" s="39" t="s">
        <v>814</v>
      </c>
      <c r="E24" s="79" t="s">
        <v>146</v>
      </c>
      <c r="F24" s="137" t="s">
        <v>114</v>
      </c>
      <c r="G24" s="79" t="s">
        <v>115</v>
      </c>
      <c r="H24" s="79" t="s">
        <v>147</v>
      </c>
      <c r="I24" s="79" t="s">
        <v>347</v>
      </c>
      <c r="J24" s="82" t="s">
        <v>320</v>
      </c>
      <c r="K24" s="82" t="s">
        <v>270</v>
      </c>
      <c r="L24" s="82" t="s">
        <v>468</v>
      </c>
      <c r="M24" s="82" t="s">
        <v>566</v>
      </c>
      <c r="N24" s="82" t="s">
        <v>924</v>
      </c>
      <c r="O24" s="79" t="s">
        <v>564</v>
      </c>
    </row>
    <row r="25" spans="1:15" x14ac:dyDescent="0.2">
      <c r="A25" s="162" t="s">
        <v>1158</v>
      </c>
      <c r="B25" s="138" t="s">
        <v>161</v>
      </c>
      <c r="C25" s="162" t="s">
        <v>1158</v>
      </c>
      <c r="D25" s="39" t="s">
        <v>814</v>
      </c>
      <c r="E25" s="107" t="s">
        <v>867</v>
      </c>
      <c r="F25" s="138" t="s">
        <v>161</v>
      </c>
      <c r="G25" s="107" t="s">
        <v>1018</v>
      </c>
      <c r="H25" s="107" t="s">
        <v>868</v>
      </c>
      <c r="I25" s="107" t="s">
        <v>869</v>
      </c>
      <c r="J25" s="108" t="s">
        <v>321</v>
      </c>
      <c r="K25" s="108" t="s">
        <v>904</v>
      </c>
      <c r="L25" s="108" t="s">
        <v>905</v>
      </c>
      <c r="M25" s="108" t="s">
        <v>960</v>
      </c>
      <c r="N25" s="108" t="s">
        <v>1027</v>
      </c>
      <c r="O25" s="107" t="s">
        <v>76</v>
      </c>
    </row>
    <row r="26" spans="1:15" x14ac:dyDescent="0.2">
      <c r="A26" s="162" t="s">
        <v>1158</v>
      </c>
      <c r="B26" s="137" t="s">
        <v>125</v>
      </c>
      <c r="C26" s="162" t="s">
        <v>1158</v>
      </c>
      <c r="D26" s="39" t="s">
        <v>814</v>
      </c>
      <c r="E26" s="79" t="s">
        <v>198</v>
      </c>
      <c r="F26" s="137" t="s">
        <v>125</v>
      </c>
      <c r="G26" s="79" t="s">
        <v>115</v>
      </c>
      <c r="H26" s="79" t="s">
        <v>199</v>
      </c>
      <c r="I26" s="79" t="s">
        <v>390</v>
      </c>
      <c r="J26" s="82" t="s">
        <v>320</v>
      </c>
      <c r="K26" s="82" t="s">
        <v>293</v>
      </c>
      <c r="L26" s="82" t="s">
        <v>496</v>
      </c>
      <c r="M26" s="82" t="s">
        <v>567</v>
      </c>
      <c r="N26" s="82" t="s">
        <v>945</v>
      </c>
      <c r="O26" s="79" t="s">
        <v>587</v>
      </c>
    </row>
    <row r="27" spans="1:15" x14ac:dyDescent="0.2">
      <c r="A27" s="162" t="s">
        <v>1158</v>
      </c>
      <c r="B27" s="137" t="s">
        <v>144</v>
      </c>
      <c r="C27" s="162" t="s">
        <v>1158</v>
      </c>
      <c r="D27" s="39" t="s">
        <v>814</v>
      </c>
      <c r="E27" s="79" t="s">
        <v>170</v>
      </c>
      <c r="F27" s="137" t="s">
        <v>144</v>
      </c>
      <c r="G27" s="79" t="s">
        <v>115</v>
      </c>
      <c r="H27" s="79" t="s">
        <v>171</v>
      </c>
      <c r="I27" s="79" t="s">
        <v>372</v>
      </c>
      <c r="J27" s="82" t="s">
        <v>320</v>
      </c>
      <c r="K27" s="82" t="s">
        <v>280</v>
      </c>
      <c r="L27" s="82" t="s">
        <v>483</v>
      </c>
      <c r="M27" s="82" t="s">
        <v>568</v>
      </c>
      <c r="N27" s="82" t="s">
        <v>936</v>
      </c>
      <c r="O27" s="79" t="s">
        <v>574</v>
      </c>
    </row>
    <row r="28" spans="1:15" x14ac:dyDescent="0.2">
      <c r="A28" s="162" t="s">
        <v>1158</v>
      </c>
      <c r="B28" s="137" t="s">
        <v>144</v>
      </c>
      <c r="C28" s="162" t="s">
        <v>1158</v>
      </c>
      <c r="D28" s="39" t="s">
        <v>814</v>
      </c>
      <c r="E28" s="79" t="s">
        <v>246</v>
      </c>
      <c r="F28" s="137" t="s">
        <v>144</v>
      </c>
      <c r="G28" s="79" t="s">
        <v>115</v>
      </c>
      <c r="H28" s="79" t="s">
        <v>247</v>
      </c>
      <c r="I28" s="79" t="s">
        <v>436</v>
      </c>
      <c r="J28" s="82" t="s">
        <v>320</v>
      </c>
      <c r="K28" s="82" t="s">
        <v>317</v>
      </c>
      <c r="L28" s="82" t="s">
        <v>526</v>
      </c>
      <c r="M28" s="82" t="s">
        <v>569</v>
      </c>
      <c r="N28" s="82" t="s">
        <v>966</v>
      </c>
      <c r="O28" s="79" t="s">
        <v>606</v>
      </c>
    </row>
    <row r="29" spans="1:15" x14ac:dyDescent="0.2">
      <c r="A29" s="162" t="s">
        <v>1158</v>
      </c>
      <c r="B29" s="137" t="s">
        <v>114</v>
      </c>
      <c r="C29" s="162" t="s">
        <v>1158</v>
      </c>
      <c r="D29" s="39" t="s">
        <v>814</v>
      </c>
      <c r="E29" s="79" t="s">
        <v>863</v>
      </c>
      <c r="F29" s="137" t="s">
        <v>114</v>
      </c>
      <c r="G29" s="79" t="s">
        <v>115</v>
      </c>
      <c r="H29" s="79" t="s">
        <v>864</v>
      </c>
      <c r="I29" s="79" t="s">
        <v>865</v>
      </c>
      <c r="J29" s="82" t="s">
        <v>320</v>
      </c>
      <c r="K29" s="82" t="s">
        <v>901</v>
      </c>
      <c r="L29" s="82" t="s">
        <v>902</v>
      </c>
      <c r="M29" s="82" t="s">
        <v>953</v>
      </c>
      <c r="N29" s="82" t="s">
        <v>954</v>
      </c>
      <c r="O29" s="79" t="s">
        <v>946</v>
      </c>
    </row>
    <row r="30" spans="1:15" ht="28.5" x14ac:dyDescent="0.2">
      <c r="A30" s="162" t="s">
        <v>1158</v>
      </c>
      <c r="B30" s="138" t="s">
        <v>421</v>
      </c>
      <c r="C30" s="162" t="s">
        <v>1158</v>
      </c>
      <c r="D30" s="39" t="s">
        <v>814</v>
      </c>
      <c r="E30" s="107" t="s">
        <v>420</v>
      </c>
      <c r="F30" s="138" t="s">
        <v>421</v>
      </c>
      <c r="G30" s="107" t="s">
        <v>1018</v>
      </c>
      <c r="H30" s="107" t="s">
        <v>422</v>
      </c>
      <c r="I30" s="107" t="s">
        <v>423</v>
      </c>
      <c r="J30" s="108" t="s">
        <v>321</v>
      </c>
      <c r="K30" s="108" t="s">
        <v>451</v>
      </c>
      <c r="L30" s="108" t="s">
        <v>516</v>
      </c>
      <c r="M30" s="108" t="s">
        <v>570</v>
      </c>
      <c r="N30" s="108" t="s">
        <v>1029</v>
      </c>
      <c r="O30" s="107" t="s">
        <v>62</v>
      </c>
    </row>
    <row r="31" spans="1:15" x14ac:dyDescent="0.2">
      <c r="A31" s="162" t="s">
        <v>1158</v>
      </c>
      <c r="B31" s="137" t="s">
        <v>125</v>
      </c>
      <c r="C31" s="162" t="s">
        <v>1158</v>
      </c>
      <c r="D31" s="39" t="s">
        <v>814</v>
      </c>
      <c r="E31" s="79" t="s">
        <v>134</v>
      </c>
      <c r="F31" s="137" t="s">
        <v>125</v>
      </c>
      <c r="G31" s="79" t="s">
        <v>115</v>
      </c>
      <c r="H31" s="79" t="s">
        <v>135</v>
      </c>
      <c r="I31" s="79" t="s">
        <v>339</v>
      </c>
      <c r="J31" s="82" t="s">
        <v>320</v>
      </c>
      <c r="K31" s="82" t="s">
        <v>265</v>
      </c>
      <c r="L31" s="82" t="s">
        <v>462</v>
      </c>
      <c r="M31" s="82" t="s">
        <v>59</v>
      </c>
      <c r="N31" s="82" t="s">
        <v>921</v>
      </c>
      <c r="O31" s="79" t="s">
        <v>558</v>
      </c>
    </row>
    <row r="32" spans="1:15" x14ac:dyDescent="0.2">
      <c r="A32" s="162" t="s">
        <v>1158</v>
      </c>
      <c r="B32" s="137" t="s">
        <v>125</v>
      </c>
      <c r="C32" s="162" t="s">
        <v>1158</v>
      </c>
      <c r="D32" s="39" t="s">
        <v>814</v>
      </c>
      <c r="E32" s="79" t="s">
        <v>356</v>
      </c>
      <c r="F32" s="137" t="s">
        <v>125</v>
      </c>
      <c r="G32" s="79" t="s">
        <v>115</v>
      </c>
      <c r="H32" s="79" t="s">
        <v>357</v>
      </c>
      <c r="I32" s="79" t="s">
        <v>358</v>
      </c>
      <c r="J32" s="82" t="s">
        <v>320</v>
      </c>
      <c r="K32" s="82" t="s">
        <v>442</v>
      </c>
      <c r="L32" s="82" t="s">
        <v>475</v>
      </c>
      <c r="M32" s="82" t="s">
        <v>571</v>
      </c>
      <c r="N32" s="82" t="s">
        <v>928</v>
      </c>
      <c r="O32" s="79" t="s">
        <v>568</v>
      </c>
    </row>
    <row r="33" spans="1:15" x14ac:dyDescent="0.2">
      <c r="A33" s="162" t="s">
        <v>1158</v>
      </c>
      <c r="B33" s="139" t="s">
        <v>141</v>
      </c>
      <c r="C33" s="162" t="s">
        <v>1158</v>
      </c>
      <c r="D33" s="39" t="s">
        <v>814</v>
      </c>
      <c r="E33" s="81" t="s">
        <v>248</v>
      </c>
      <c r="F33" s="139" t="s">
        <v>141</v>
      </c>
      <c r="G33" s="81" t="s">
        <v>850</v>
      </c>
      <c r="H33" s="81" t="s">
        <v>249</v>
      </c>
      <c r="I33" s="81" t="s">
        <v>437</v>
      </c>
      <c r="J33" s="83" t="s">
        <v>253</v>
      </c>
      <c r="K33" s="83" t="s">
        <v>318</v>
      </c>
      <c r="L33" s="83" t="s">
        <v>527</v>
      </c>
      <c r="M33" s="83" t="s">
        <v>83</v>
      </c>
      <c r="N33" s="83" t="s">
        <v>983</v>
      </c>
      <c r="O33" s="81" t="s">
        <v>607</v>
      </c>
    </row>
    <row r="34" spans="1:15" x14ac:dyDescent="0.2">
      <c r="A34" s="162" t="s">
        <v>1158</v>
      </c>
      <c r="B34" s="137" t="s">
        <v>125</v>
      </c>
      <c r="C34" s="162" t="s">
        <v>1158</v>
      </c>
      <c r="D34" s="39" t="s">
        <v>814</v>
      </c>
      <c r="E34" s="79" t="s">
        <v>191</v>
      </c>
      <c r="F34" s="137" t="s">
        <v>125</v>
      </c>
      <c r="G34" s="79" t="s">
        <v>115</v>
      </c>
      <c r="H34" s="79" t="s">
        <v>192</v>
      </c>
      <c r="I34" s="79" t="s">
        <v>382</v>
      </c>
      <c r="J34" s="82" t="s">
        <v>320</v>
      </c>
      <c r="K34" s="82" t="s">
        <v>290</v>
      </c>
      <c r="L34" s="82" t="s">
        <v>493</v>
      </c>
      <c r="M34" s="82" t="s">
        <v>572</v>
      </c>
      <c r="N34" s="82" t="s">
        <v>944</v>
      </c>
      <c r="O34" s="79" t="s">
        <v>583</v>
      </c>
    </row>
    <row r="35" spans="1:15" ht="28.5" x14ac:dyDescent="0.2">
      <c r="A35" s="162" t="s">
        <v>1158</v>
      </c>
      <c r="B35" s="138" t="s">
        <v>393</v>
      </c>
      <c r="C35" s="162" t="s">
        <v>1158</v>
      </c>
      <c r="D35" s="39" t="s">
        <v>814</v>
      </c>
      <c r="E35" s="107" t="s">
        <v>392</v>
      </c>
      <c r="F35" s="138" t="s">
        <v>393</v>
      </c>
      <c r="G35" s="107" t="s">
        <v>1018</v>
      </c>
      <c r="H35" s="107" t="s">
        <v>394</v>
      </c>
      <c r="I35" s="107" t="s">
        <v>395</v>
      </c>
      <c r="J35" s="108" t="s">
        <v>321</v>
      </c>
      <c r="K35" s="108" t="s">
        <v>447</v>
      </c>
      <c r="L35" s="108" t="s">
        <v>498</v>
      </c>
      <c r="M35" s="108" t="s">
        <v>573</v>
      </c>
      <c r="N35" s="108" t="s">
        <v>1026</v>
      </c>
      <c r="O35" s="107" t="s">
        <v>92</v>
      </c>
    </row>
    <row r="36" spans="1:15" ht="28.5" x14ac:dyDescent="0.2">
      <c r="A36" s="162" t="s">
        <v>1158</v>
      </c>
      <c r="B36" s="137" t="s">
        <v>398</v>
      </c>
      <c r="C36" s="162" t="s">
        <v>1158</v>
      </c>
      <c r="D36" s="39" t="s">
        <v>814</v>
      </c>
      <c r="E36" s="79" t="s">
        <v>397</v>
      </c>
      <c r="F36" s="137" t="s">
        <v>398</v>
      </c>
      <c r="G36" s="79" t="s">
        <v>115</v>
      </c>
      <c r="H36" s="79" t="s">
        <v>399</v>
      </c>
      <c r="I36" s="79" t="s">
        <v>400</v>
      </c>
      <c r="J36" s="82" t="s">
        <v>320</v>
      </c>
      <c r="K36" s="82" t="s">
        <v>448</v>
      </c>
      <c r="L36" s="82" t="s">
        <v>500</v>
      </c>
      <c r="M36" s="82" t="s">
        <v>574</v>
      </c>
      <c r="N36" s="82" t="s">
        <v>949</v>
      </c>
      <c r="O36" s="79" t="s">
        <v>69</v>
      </c>
    </row>
    <row r="37" spans="1:15" x14ac:dyDescent="0.2">
      <c r="A37" s="162" t="s">
        <v>1158</v>
      </c>
      <c r="B37" s="137" t="s">
        <v>114</v>
      </c>
      <c r="C37" s="162" t="s">
        <v>1158</v>
      </c>
      <c r="D37" s="39" t="s">
        <v>814</v>
      </c>
      <c r="E37" s="79" t="s">
        <v>220</v>
      </c>
      <c r="F37" s="137" t="s">
        <v>114</v>
      </c>
      <c r="G37" s="79" t="s">
        <v>115</v>
      </c>
      <c r="H37" s="79" t="s">
        <v>221</v>
      </c>
      <c r="I37" s="79" t="s">
        <v>412</v>
      </c>
      <c r="J37" s="82" t="s">
        <v>320</v>
      </c>
      <c r="K37" s="82" t="s">
        <v>304</v>
      </c>
      <c r="L37" s="82" t="s">
        <v>510</v>
      </c>
      <c r="M37" s="82" t="s">
        <v>575</v>
      </c>
      <c r="N37" s="82" t="s">
        <v>958</v>
      </c>
      <c r="O37" s="79" t="s">
        <v>596</v>
      </c>
    </row>
    <row r="38" spans="1:15" x14ac:dyDescent="0.2">
      <c r="A38" s="162" t="s">
        <v>1158</v>
      </c>
      <c r="B38" s="139" t="s">
        <v>141</v>
      </c>
      <c r="C38" s="162" t="s">
        <v>1158</v>
      </c>
      <c r="D38" s="39" t="s">
        <v>814</v>
      </c>
      <c r="E38" s="81" t="s">
        <v>236</v>
      </c>
      <c r="F38" s="139" t="s">
        <v>141</v>
      </c>
      <c r="G38" s="81" t="s">
        <v>850</v>
      </c>
      <c r="H38" s="81" t="s">
        <v>237</v>
      </c>
      <c r="I38" s="81" t="s">
        <v>428</v>
      </c>
      <c r="J38" s="83" t="s">
        <v>253</v>
      </c>
      <c r="K38" s="83" t="s">
        <v>312</v>
      </c>
      <c r="L38" s="83" t="s">
        <v>520</v>
      </c>
      <c r="M38" s="83" t="s">
        <v>578</v>
      </c>
      <c r="N38" s="83" t="s">
        <v>981</v>
      </c>
      <c r="O38" s="81" t="s">
        <v>602</v>
      </c>
    </row>
    <row r="39" spans="1:15" x14ac:dyDescent="0.2">
      <c r="A39" s="162" t="s">
        <v>1158</v>
      </c>
      <c r="B39" s="139" t="s">
        <v>141</v>
      </c>
      <c r="C39" s="162" t="s">
        <v>1158</v>
      </c>
      <c r="D39" s="39" t="s">
        <v>814</v>
      </c>
      <c r="E39" s="81" t="s">
        <v>870</v>
      </c>
      <c r="F39" s="139" t="s">
        <v>141</v>
      </c>
      <c r="G39" s="81" t="s">
        <v>850</v>
      </c>
      <c r="H39" s="81" t="s">
        <v>871</v>
      </c>
      <c r="I39" s="81" t="s">
        <v>872</v>
      </c>
      <c r="J39" s="83" t="s">
        <v>253</v>
      </c>
      <c r="K39" s="83" t="s">
        <v>906</v>
      </c>
      <c r="L39" s="83" t="s">
        <v>907</v>
      </c>
      <c r="M39" s="83" t="s">
        <v>963</v>
      </c>
      <c r="N39" s="83" t="s">
        <v>980</v>
      </c>
      <c r="O39" s="81" t="s">
        <v>601</v>
      </c>
    </row>
    <row r="40" spans="1:15" x14ac:dyDescent="0.2">
      <c r="A40" s="162" t="s">
        <v>1158</v>
      </c>
      <c r="B40" s="137" t="s">
        <v>114</v>
      </c>
      <c r="C40" s="162" t="s">
        <v>1158</v>
      </c>
      <c r="D40" s="39" t="s">
        <v>814</v>
      </c>
      <c r="E40" s="79" t="s">
        <v>152</v>
      </c>
      <c r="F40" s="137" t="s">
        <v>114</v>
      </c>
      <c r="G40" s="79" t="s">
        <v>115</v>
      </c>
      <c r="H40" s="79" t="s">
        <v>153</v>
      </c>
      <c r="I40" s="79" t="s">
        <v>353</v>
      </c>
      <c r="J40" s="82" t="s">
        <v>320</v>
      </c>
      <c r="K40" s="82" t="s">
        <v>273</v>
      </c>
      <c r="L40" s="82" t="s">
        <v>472</v>
      </c>
      <c r="M40" s="82" t="s">
        <v>88</v>
      </c>
      <c r="N40" s="82" t="s">
        <v>927</v>
      </c>
      <c r="O40" s="79" t="s">
        <v>567</v>
      </c>
    </row>
    <row r="41" spans="1:15" x14ac:dyDescent="0.2">
      <c r="A41" s="162" t="s">
        <v>1158</v>
      </c>
      <c r="B41" s="137" t="s">
        <v>114</v>
      </c>
      <c r="C41" s="162" t="s">
        <v>1158</v>
      </c>
      <c r="D41" s="39" t="s">
        <v>814</v>
      </c>
      <c r="E41" s="79" t="s">
        <v>208</v>
      </c>
      <c r="F41" s="137" t="s">
        <v>114</v>
      </c>
      <c r="G41" s="79" t="s">
        <v>115</v>
      </c>
      <c r="H41" s="79" t="s">
        <v>209</v>
      </c>
      <c r="I41" s="79" t="s">
        <v>403</v>
      </c>
      <c r="J41" s="82" t="s">
        <v>320</v>
      </c>
      <c r="K41" s="82" t="s">
        <v>298</v>
      </c>
      <c r="L41" s="82" t="s">
        <v>503</v>
      </c>
      <c r="M41" s="82" t="s">
        <v>579</v>
      </c>
      <c r="N41" s="82" t="s">
        <v>951</v>
      </c>
      <c r="O41" s="79" t="s">
        <v>592</v>
      </c>
    </row>
    <row r="42" spans="1:15" x14ac:dyDescent="0.2">
      <c r="A42" s="162" t="s">
        <v>1158</v>
      </c>
      <c r="B42" s="139" t="s">
        <v>141</v>
      </c>
      <c r="C42" s="162" t="s">
        <v>1158</v>
      </c>
      <c r="D42" s="39" t="s">
        <v>814</v>
      </c>
      <c r="E42" s="81" t="s">
        <v>204</v>
      </c>
      <c r="F42" s="139" t="s">
        <v>141</v>
      </c>
      <c r="G42" s="81" t="s">
        <v>850</v>
      </c>
      <c r="H42" s="81" t="s">
        <v>205</v>
      </c>
      <c r="I42" s="81" t="s">
        <v>401</v>
      </c>
      <c r="J42" s="83" t="s">
        <v>253</v>
      </c>
      <c r="K42" s="83" t="s">
        <v>296</v>
      </c>
      <c r="L42" s="83" t="s">
        <v>501</v>
      </c>
      <c r="M42" s="83" t="s">
        <v>77</v>
      </c>
      <c r="N42" s="83" t="s">
        <v>976</v>
      </c>
      <c r="O42" s="81" t="s">
        <v>64</v>
      </c>
    </row>
    <row r="43" spans="1:15" ht="28.5" x14ac:dyDescent="0.2">
      <c r="A43" s="162" t="s">
        <v>1158</v>
      </c>
      <c r="B43" s="138" t="s">
        <v>118</v>
      </c>
      <c r="C43" s="162" t="s">
        <v>1158</v>
      </c>
      <c r="D43" s="39" t="s">
        <v>814</v>
      </c>
      <c r="E43" s="107" t="s">
        <v>117</v>
      </c>
      <c r="F43" s="138" t="s">
        <v>118</v>
      </c>
      <c r="G43" s="107" t="s">
        <v>1018</v>
      </c>
      <c r="H43" s="107" t="s">
        <v>119</v>
      </c>
      <c r="I43" s="107" t="s">
        <v>329</v>
      </c>
      <c r="J43" s="108" t="s">
        <v>321</v>
      </c>
      <c r="K43" s="108" t="s">
        <v>258</v>
      </c>
      <c r="L43" s="108" t="s">
        <v>454</v>
      </c>
      <c r="M43" s="108" t="s">
        <v>580</v>
      </c>
      <c r="N43" s="108" t="s">
        <v>1020</v>
      </c>
      <c r="O43" s="107" t="s">
        <v>551</v>
      </c>
    </row>
    <row r="44" spans="1:15" x14ac:dyDescent="0.2">
      <c r="A44" s="162" t="s">
        <v>1158</v>
      </c>
      <c r="B44" s="138" t="s">
        <v>168</v>
      </c>
      <c r="C44" s="162" t="s">
        <v>1158</v>
      </c>
      <c r="D44" s="39" t="s">
        <v>814</v>
      </c>
      <c r="E44" s="107" t="s">
        <v>857</v>
      </c>
      <c r="F44" s="138" t="s">
        <v>168</v>
      </c>
      <c r="G44" s="107" t="s">
        <v>1018</v>
      </c>
      <c r="H44" s="107" t="s">
        <v>169</v>
      </c>
      <c r="I44" s="107" t="s">
        <v>371</v>
      </c>
      <c r="J44" s="108" t="s">
        <v>321</v>
      </c>
      <c r="K44" s="108" t="s">
        <v>279</v>
      </c>
      <c r="L44" s="108" t="s">
        <v>482</v>
      </c>
      <c r="M44" s="108" t="s">
        <v>581</v>
      </c>
      <c r="N44" s="108" t="s">
        <v>1023</v>
      </c>
      <c r="O44" s="107" t="s">
        <v>573</v>
      </c>
    </row>
    <row r="45" spans="1:15" x14ac:dyDescent="0.2">
      <c r="A45" s="162" t="s">
        <v>1158</v>
      </c>
      <c r="B45" s="137" t="s">
        <v>114</v>
      </c>
      <c r="C45" s="162" t="s">
        <v>1158</v>
      </c>
      <c r="D45" s="39" t="s">
        <v>814</v>
      </c>
      <c r="E45" s="79" t="s">
        <v>222</v>
      </c>
      <c r="F45" s="137" t="s">
        <v>114</v>
      </c>
      <c r="G45" s="79" t="s">
        <v>115</v>
      </c>
      <c r="H45" s="79" t="s">
        <v>223</v>
      </c>
      <c r="I45" s="79" t="s">
        <v>413</v>
      </c>
      <c r="J45" s="82" t="s">
        <v>320</v>
      </c>
      <c r="K45" s="82" t="s">
        <v>305</v>
      </c>
      <c r="L45" s="82" t="s">
        <v>511</v>
      </c>
      <c r="M45" s="82" t="s">
        <v>582</v>
      </c>
      <c r="N45" s="82" t="s">
        <v>959</v>
      </c>
      <c r="O45" s="79" t="s">
        <v>597</v>
      </c>
    </row>
    <row r="46" spans="1:15" x14ac:dyDescent="0.2">
      <c r="A46" s="162" t="s">
        <v>1158</v>
      </c>
      <c r="B46" s="137" t="s">
        <v>114</v>
      </c>
      <c r="C46" s="162" t="s">
        <v>1158</v>
      </c>
      <c r="D46" s="39" t="s">
        <v>814</v>
      </c>
      <c r="E46" s="79" t="s">
        <v>122</v>
      </c>
      <c r="F46" s="137" t="s">
        <v>114</v>
      </c>
      <c r="G46" s="79" t="s">
        <v>115</v>
      </c>
      <c r="H46" s="79" t="s">
        <v>123</v>
      </c>
      <c r="I46" s="79" t="s">
        <v>331</v>
      </c>
      <c r="J46" s="82" t="s">
        <v>320</v>
      </c>
      <c r="K46" s="82" t="s">
        <v>260</v>
      </c>
      <c r="L46" s="82" t="s">
        <v>456</v>
      </c>
      <c r="M46" s="82" t="s">
        <v>583</v>
      </c>
      <c r="N46" s="82" t="s">
        <v>914</v>
      </c>
      <c r="O46" s="79" t="s">
        <v>553</v>
      </c>
    </row>
    <row r="47" spans="1:15" x14ac:dyDescent="0.2">
      <c r="A47" s="162" t="s">
        <v>1158</v>
      </c>
      <c r="B47" s="137" t="s">
        <v>114</v>
      </c>
      <c r="C47" s="162" t="s">
        <v>1158</v>
      </c>
      <c r="D47" s="39" t="s">
        <v>814</v>
      </c>
      <c r="E47" s="79" t="s">
        <v>851</v>
      </c>
      <c r="F47" s="137" t="s">
        <v>114</v>
      </c>
      <c r="G47" s="79" t="s">
        <v>115</v>
      </c>
      <c r="H47" s="79" t="s">
        <v>852</v>
      </c>
      <c r="I47" s="79" t="s">
        <v>853</v>
      </c>
      <c r="J47" s="82" t="s">
        <v>320</v>
      </c>
      <c r="K47" s="82" t="s">
        <v>894</v>
      </c>
      <c r="L47" s="82" t="s">
        <v>895</v>
      </c>
      <c r="M47" s="82" t="s">
        <v>915</v>
      </c>
      <c r="N47" s="82" t="s">
        <v>916</v>
      </c>
      <c r="O47" s="79" t="s">
        <v>554</v>
      </c>
    </row>
    <row r="48" spans="1:15" x14ac:dyDescent="0.2">
      <c r="A48" s="162" t="s">
        <v>1158</v>
      </c>
      <c r="B48" s="137" t="s">
        <v>144</v>
      </c>
      <c r="C48" s="162" t="s">
        <v>1158</v>
      </c>
      <c r="D48" s="39" t="s">
        <v>814</v>
      </c>
      <c r="E48" s="79" t="s">
        <v>364</v>
      </c>
      <c r="F48" s="137" t="s">
        <v>144</v>
      </c>
      <c r="G48" s="79" t="s">
        <v>115</v>
      </c>
      <c r="H48" s="79" t="s">
        <v>365</v>
      </c>
      <c r="I48" s="79" t="s">
        <v>366</v>
      </c>
      <c r="J48" s="82" t="s">
        <v>320</v>
      </c>
      <c r="K48" s="82" t="s">
        <v>444</v>
      </c>
      <c r="L48" s="82" t="s">
        <v>479</v>
      </c>
      <c r="M48" s="82" t="s">
        <v>584</v>
      </c>
      <c r="N48" s="82" t="s">
        <v>932</v>
      </c>
      <c r="O48" s="79" t="s">
        <v>59</v>
      </c>
    </row>
    <row r="49" spans="1:15" x14ac:dyDescent="0.2">
      <c r="A49" s="162" t="s">
        <v>1158</v>
      </c>
      <c r="B49" s="137" t="s">
        <v>114</v>
      </c>
      <c r="C49" s="162" t="s">
        <v>1158</v>
      </c>
      <c r="D49" s="39" t="s">
        <v>814</v>
      </c>
      <c r="E49" s="79" t="s">
        <v>174</v>
      </c>
      <c r="F49" s="137" t="s">
        <v>114</v>
      </c>
      <c r="G49" s="79" t="s">
        <v>115</v>
      </c>
      <c r="H49" s="79" t="s">
        <v>175</v>
      </c>
      <c r="I49" s="79" t="s">
        <v>374</v>
      </c>
      <c r="J49" s="82" t="s">
        <v>320</v>
      </c>
      <c r="K49" s="82" t="s">
        <v>282</v>
      </c>
      <c r="L49" s="82" t="s">
        <v>485</v>
      </c>
      <c r="M49" s="82" t="s">
        <v>586</v>
      </c>
      <c r="N49" s="82" t="s">
        <v>938</v>
      </c>
      <c r="O49" s="79" t="s">
        <v>578</v>
      </c>
    </row>
    <row r="50" spans="1:15" x14ac:dyDescent="0.2">
      <c r="A50" s="162" t="s">
        <v>1158</v>
      </c>
      <c r="B50" s="137" t="s">
        <v>114</v>
      </c>
      <c r="C50" s="162" t="s">
        <v>1158</v>
      </c>
      <c r="D50" s="39" t="s">
        <v>814</v>
      </c>
      <c r="E50" s="79" t="s">
        <v>138</v>
      </c>
      <c r="F50" s="137" t="s">
        <v>114</v>
      </c>
      <c r="G50" s="79" t="s">
        <v>115</v>
      </c>
      <c r="H50" s="79" t="s">
        <v>139</v>
      </c>
      <c r="I50" s="79" t="s">
        <v>341</v>
      </c>
      <c r="J50" s="82" t="s">
        <v>320</v>
      </c>
      <c r="K50" s="82" t="s">
        <v>267</v>
      </c>
      <c r="L50" s="82" t="s">
        <v>464</v>
      </c>
      <c r="M50" s="82" t="s">
        <v>587</v>
      </c>
      <c r="N50" s="82" t="s">
        <v>922</v>
      </c>
      <c r="O50" s="79" t="s">
        <v>559</v>
      </c>
    </row>
    <row r="51" spans="1:15" x14ac:dyDescent="0.2">
      <c r="A51" s="162" t="s">
        <v>1158</v>
      </c>
      <c r="B51" s="137" t="s">
        <v>125</v>
      </c>
      <c r="C51" s="162" t="s">
        <v>1158</v>
      </c>
      <c r="D51" s="39" t="s">
        <v>814</v>
      </c>
      <c r="E51" s="79" t="s">
        <v>232</v>
      </c>
      <c r="F51" s="137" t="s">
        <v>125</v>
      </c>
      <c r="G51" s="79" t="s">
        <v>115</v>
      </c>
      <c r="H51" s="79" t="s">
        <v>233</v>
      </c>
      <c r="I51" s="79" t="s">
        <v>425</v>
      </c>
      <c r="J51" s="82" t="s">
        <v>320</v>
      </c>
      <c r="K51" s="82" t="s">
        <v>310</v>
      </c>
      <c r="L51" s="82" t="s">
        <v>518</v>
      </c>
      <c r="M51" s="82" t="s">
        <v>588</v>
      </c>
      <c r="N51" s="82" t="s">
        <v>962</v>
      </c>
      <c r="O51" s="79" t="s">
        <v>79</v>
      </c>
    </row>
    <row r="52" spans="1:15" x14ac:dyDescent="0.2">
      <c r="A52" s="162" t="s">
        <v>1158</v>
      </c>
      <c r="B52" s="137" t="s">
        <v>125</v>
      </c>
      <c r="C52" s="162" t="s">
        <v>1158</v>
      </c>
      <c r="D52" s="39" t="s">
        <v>814</v>
      </c>
      <c r="E52" s="79" t="s">
        <v>172</v>
      </c>
      <c r="F52" s="137" t="s">
        <v>125</v>
      </c>
      <c r="G52" s="79" t="s">
        <v>115</v>
      </c>
      <c r="H52" s="79" t="s">
        <v>173</v>
      </c>
      <c r="I52" s="79" t="s">
        <v>373</v>
      </c>
      <c r="J52" s="82" t="s">
        <v>320</v>
      </c>
      <c r="K52" s="82" t="s">
        <v>281</v>
      </c>
      <c r="L52" s="82" t="s">
        <v>484</v>
      </c>
      <c r="M52" s="82" t="s">
        <v>589</v>
      </c>
      <c r="N52" s="82" t="s">
        <v>937</v>
      </c>
      <c r="O52" s="79" t="s">
        <v>575</v>
      </c>
    </row>
    <row r="53" spans="1:15" x14ac:dyDescent="0.2">
      <c r="A53" s="162" t="s">
        <v>1158</v>
      </c>
      <c r="B53" s="139" t="s">
        <v>141</v>
      </c>
      <c r="C53" s="162" t="s">
        <v>1158</v>
      </c>
      <c r="D53" s="39" t="s">
        <v>814</v>
      </c>
      <c r="E53" s="81" t="s">
        <v>200</v>
      </c>
      <c r="F53" s="139" t="s">
        <v>141</v>
      </c>
      <c r="G53" s="81" t="s">
        <v>850</v>
      </c>
      <c r="H53" s="81" t="s">
        <v>201</v>
      </c>
      <c r="I53" s="81" t="s">
        <v>391</v>
      </c>
      <c r="J53" s="83" t="s">
        <v>253</v>
      </c>
      <c r="K53" s="83" t="s">
        <v>294</v>
      </c>
      <c r="L53" s="83" t="s">
        <v>497</v>
      </c>
      <c r="M53" s="83" t="s">
        <v>92</v>
      </c>
      <c r="N53" s="83" t="s">
        <v>975</v>
      </c>
      <c r="O53" s="81" t="s">
        <v>588</v>
      </c>
    </row>
    <row r="54" spans="1:15" x14ac:dyDescent="0.2">
      <c r="A54" s="162" t="s">
        <v>1158</v>
      </c>
      <c r="B54" s="137" t="s">
        <v>114</v>
      </c>
      <c r="C54" s="162" t="s">
        <v>1158</v>
      </c>
      <c r="D54" s="39" t="s">
        <v>814</v>
      </c>
      <c r="E54" s="79" t="s">
        <v>202</v>
      </c>
      <c r="F54" s="137" t="s">
        <v>114</v>
      </c>
      <c r="G54" s="79" t="s">
        <v>115</v>
      </c>
      <c r="H54" s="79" t="s">
        <v>203</v>
      </c>
      <c r="I54" s="79" t="s">
        <v>396</v>
      </c>
      <c r="J54" s="82" t="s">
        <v>320</v>
      </c>
      <c r="K54" s="82" t="s">
        <v>295</v>
      </c>
      <c r="L54" s="82" t="s">
        <v>499</v>
      </c>
      <c r="M54" s="82" t="s">
        <v>590</v>
      </c>
      <c r="N54" s="82" t="s">
        <v>948</v>
      </c>
      <c r="O54" s="79" t="s">
        <v>590</v>
      </c>
    </row>
    <row r="55" spans="1:15" x14ac:dyDescent="0.2">
      <c r="A55" s="162" t="s">
        <v>1158</v>
      </c>
      <c r="B55" s="137" t="s">
        <v>125</v>
      </c>
      <c r="C55" s="162" t="s">
        <v>1158</v>
      </c>
      <c r="D55" s="39" t="s">
        <v>814</v>
      </c>
      <c r="E55" s="79" t="s">
        <v>124</v>
      </c>
      <c r="F55" s="137" t="s">
        <v>125</v>
      </c>
      <c r="G55" s="79" t="s">
        <v>115</v>
      </c>
      <c r="H55" s="79" t="s">
        <v>126</v>
      </c>
      <c r="I55" s="79" t="s">
        <v>332</v>
      </c>
      <c r="J55" s="82" t="s">
        <v>320</v>
      </c>
      <c r="K55" s="82" t="s">
        <v>261</v>
      </c>
      <c r="L55" s="82" t="s">
        <v>457</v>
      </c>
      <c r="M55" s="82" t="s">
        <v>69</v>
      </c>
      <c r="N55" s="82" t="s">
        <v>917</v>
      </c>
      <c r="O55" s="79" t="s">
        <v>555</v>
      </c>
    </row>
    <row r="56" spans="1:15" x14ac:dyDescent="0.2">
      <c r="A56" s="162" t="s">
        <v>1158</v>
      </c>
      <c r="B56" s="137" t="s">
        <v>125</v>
      </c>
      <c r="C56" s="162" t="s">
        <v>1158</v>
      </c>
      <c r="D56" s="39" t="s">
        <v>814</v>
      </c>
      <c r="E56" s="79" t="s">
        <v>242</v>
      </c>
      <c r="F56" s="137" t="s">
        <v>125</v>
      </c>
      <c r="G56" s="79" t="s">
        <v>115</v>
      </c>
      <c r="H56" s="79" t="s">
        <v>243</v>
      </c>
      <c r="I56" s="79" t="s">
        <v>431</v>
      </c>
      <c r="J56" s="82" t="s">
        <v>320</v>
      </c>
      <c r="K56" s="82" t="s">
        <v>315</v>
      </c>
      <c r="L56" s="82" t="s">
        <v>523</v>
      </c>
      <c r="M56" s="82" t="s">
        <v>64</v>
      </c>
      <c r="N56" s="82" t="s">
        <v>964</v>
      </c>
      <c r="O56" s="79" t="s">
        <v>604</v>
      </c>
    </row>
    <row r="57" spans="1:15" x14ac:dyDescent="0.2">
      <c r="A57" s="162" t="s">
        <v>1158</v>
      </c>
      <c r="B57" s="139" t="s">
        <v>141</v>
      </c>
      <c r="C57" s="162" t="s">
        <v>1158</v>
      </c>
      <c r="D57" s="39" t="s">
        <v>814</v>
      </c>
      <c r="E57" s="81" t="s">
        <v>140</v>
      </c>
      <c r="F57" s="139" t="s">
        <v>141</v>
      </c>
      <c r="G57" s="81" t="s">
        <v>850</v>
      </c>
      <c r="H57" s="81" t="s">
        <v>142</v>
      </c>
      <c r="I57" s="81" t="s">
        <v>342</v>
      </c>
      <c r="J57" s="83" t="s">
        <v>253</v>
      </c>
      <c r="K57" s="83" t="s">
        <v>268</v>
      </c>
      <c r="L57" s="83" t="s">
        <v>465</v>
      </c>
      <c r="M57" s="83" t="s">
        <v>591</v>
      </c>
      <c r="N57" s="83" t="s">
        <v>969</v>
      </c>
      <c r="O57" s="81" t="s">
        <v>561</v>
      </c>
    </row>
    <row r="58" spans="1:15" x14ac:dyDescent="0.2">
      <c r="A58" s="162" t="s">
        <v>1157</v>
      </c>
      <c r="B58" s="137" t="s">
        <v>165</v>
      </c>
      <c r="C58" s="162" t="s">
        <v>1157</v>
      </c>
      <c r="D58" s="39" t="s">
        <v>814</v>
      </c>
      <c r="E58" s="79" t="s">
        <v>206</v>
      </c>
      <c r="F58" s="137" t="s">
        <v>165</v>
      </c>
      <c r="G58" s="79" t="s">
        <v>115</v>
      </c>
      <c r="H58" s="79" t="s">
        <v>207</v>
      </c>
      <c r="I58" s="79" t="s">
        <v>402</v>
      </c>
      <c r="J58" s="82" t="s">
        <v>320</v>
      </c>
      <c r="K58" s="82" t="s">
        <v>297</v>
      </c>
      <c r="L58" s="82" t="s">
        <v>502</v>
      </c>
      <c r="M58" s="82" t="s">
        <v>592</v>
      </c>
      <c r="N58" s="82" t="s">
        <v>950</v>
      </c>
      <c r="O58" s="79" t="s">
        <v>591</v>
      </c>
    </row>
    <row r="59" spans="1:15" x14ac:dyDescent="0.2">
      <c r="A59" s="162" t="s">
        <v>1158</v>
      </c>
      <c r="B59" s="137" t="s">
        <v>114</v>
      </c>
      <c r="C59" s="162" t="s">
        <v>1158</v>
      </c>
      <c r="D59" s="39" t="s">
        <v>814</v>
      </c>
      <c r="E59" s="79" t="s">
        <v>150</v>
      </c>
      <c r="F59" s="137" t="s">
        <v>114</v>
      </c>
      <c r="G59" s="79" t="s">
        <v>115</v>
      </c>
      <c r="H59" s="79" t="s">
        <v>151</v>
      </c>
      <c r="I59" s="79" t="s">
        <v>349</v>
      </c>
      <c r="J59" s="82" t="s">
        <v>320</v>
      </c>
      <c r="K59" s="82" t="s">
        <v>272</v>
      </c>
      <c r="L59" s="82" t="s">
        <v>470</v>
      </c>
      <c r="M59" s="82" t="s">
        <v>41</v>
      </c>
      <c r="N59" s="82" t="s">
        <v>926</v>
      </c>
      <c r="O59" s="79" t="s">
        <v>566</v>
      </c>
    </row>
    <row r="60" spans="1:15" x14ac:dyDescent="0.2">
      <c r="A60" s="162" t="s">
        <v>1158</v>
      </c>
      <c r="B60" s="137" t="s">
        <v>114</v>
      </c>
      <c r="C60" s="162" t="s">
        <v>1158</v>
      </c>
      <c r="D60" s="39" t="s">
        <v>814</v>
      </c>
      <c r="E60" s="79" t="s">
        <v>180</v>
      </c>
      <c r="F60" s="137" t="s">
        <v>114</v>
      </c>
      <c r="G60" s="79" t="s">
        <v>115</v>
      </c>
      <c r="H60" s="79" t="s">
        <v>181</v>
      </c>
      <c r="I60" s="79" t="s">
        <v>377</v>
      </c>
      <c r="J60" s="82" t="s">
        <v>320</v>
      </c>
      <c r="K60" s="82" t="s">
        <v>285</v>
      </c>
      <c r="L60" s="82" t="s">
        <v>488</v>
      </c>
      <c r="M60" s="82" t="s">
        <v>593</v>
      </c>
      <c r="N60" s="82" t="s">
        <v>941</v>
      </c>
      <c r="O60" s="79" t="s">
        <v>579</v>
      </c>
    </row>
    <row r="61" spans="1:15" x14ac:dyDescent="0.2">
      <c r="A61" s="162" t="s">
        <v>1158</v>
      </c>
      <c r="B61" s="137" t="s">
        <v>144</v>
      </c>
      <c r="C61" s="162" t="s">
        <v>1158</v>
      </c>
      <c r="D61" s="39" t="s">
        <v>814</v>
      </c>
      <c r="E61" s="79" t="s">
        <v>860</v>
      </c>
      <c r="F61" s="137" t="s">
        <v>144</v>
      </c>
      <c r="G61" s="79" t="s">
        <v>115</v>
      </c>
      <c r="H61" s="79" t="s">
        <v>861</v>
      </c>
      <c r="I61" s="79" t="s">
        <v>862</v>
      </c>
      <c r="J61" s="82" t="s">
        <v>320</v>
      </c>
      <c r="K61" s="82" t="s">
        <v>899</v>
      </c>
      <c r="L61" s="82" t="s">
        <v>900</v>
      </c>
      <c r="M61" s="82" t="s">
        <v>946</v>
      </c>
      <c r="N61" s="82" t="s">
        <v>947</v>
      </c>
      <c r="O61" s="79" t="s">
        <v>589</v>
      </c>
    </row>
    <row r="62" spans="1:15" x14ac:dyDescent="0.2">
      <c r="A62" s="162" t="s">
        <v>1158</v>
      </c>
      <c r="B62" s="137" t="s">
        <v>114</v>
      </c>
      <c r="C62" s="162" t="s">
        <v>1158</v>
      </c>
      <c r="D62" s="39" t="s">
        <v>814</v>
      </c>
      <c r="E62" s="79" t="s">
        <v>230</v>
      </c>
      <c r="F62" s="137" t="s">
        <v>114</v>
      </c>
      <c r="G62" s="79" t="s">
        <v>115</v>
      </c>
      <c r="H62" s="79" t="s">
        <v>231</v>
      </c>
      <c r="I62" s="79" t="s">
        <v>424</v>
      </c>
      <c r="J62" s="82" t="s">
        <v>320</v>
      </c>
      <c r="K62" s="82" t="s">
        <v>309</v>
      </c>
      <c r="L62" s="82" t="s">
        <v>517</v>
      </c>
      <c r="M62" s="82" t="s">
        <v>29</v>
      </c>
      <c r="N62" s="82" t="s">
        <v>961</v>
      </c>
      <c r="O62" s="79" t="s">
        <v>956</v>
      </c>
    </row>
    <row r="63" spans="1:15" x14ac:dyDescent="0.2">
      <c r="A63" s="162" t="s">
        <v>1158</v>
      </c>
      <c r="B63" s="138" t="s">
        <v>194</v>
      </c>
      <c r="C63" s="162" t="s">
        <v>1158</v>
      </c>
      <c r="D63" s="135" t="s">
        <v>814</v>
      </c>
      <c r="E63" s="107" t="s">
        <v>873</v>
      </c>
      <c r="F63" s="138" t="s">
        <v>194</v>
      </c>
      <c r="G63" s="107" t="s">
        <v>1018</v>
      </c>
      <c r="H63" s="107" t="s">
        <v>239</v>
      </c>
      <c r="I63" s="107" t="s">
        <v>429</v>
      </c>
      <c r="J63" s="108" t="s">
        <v>321</v>
      </c>
      <c r="K63" s="108" t="s">
        <v>313</v>
      </c>
      <c r="L63" s="108" t="s">
        <v>521</v>
      </c>
      <c r="M63" s="108" t="s">
        <v>594</v>
      </c>
      <c r="N63" s="108" t="s">
        <v>1030</v>
      </c>
      <c r="O63" s="107" t="s">
        <v>38</v>
      </c>
    </row>
    <row r="64" spans="1:15" x14ac:dyDescent="0.2">
      <c r="A64" s="162" t="s">
        <v>1157</v>
      </c>
      <c r="B64" s="137" t="s">
        <v>165</v>
      </c>
      <c r="C64" s="162" t="s">
        <v>1157</v>
      </c>
      <c r="D64" s="39" t="s">
        <v>814</v>
      </c>
      <c r="E64" s="79" t="s">
        <v>360</v>
      </c>
      <c r="F64" s="137" t="s">
        <v>165</v>
      </c>
      <c r="G64" s="79" t="s">
        <v>115</v>
      </c>
      <c r="H64" s="79" t="s">
        <v>361</v>
      </c>
      <c r="I64" s="79" t="s">
        <v>362</v>
      </c>
      <c r="J64" s="82" t="s">
        <v>320</v>
      </c>
      <c r="K64" s="82" t="s">
        <v>443</v>
      </c>
      <c r="L64" s="82" t="s">
        <v>477</v>
      </c>
      <c r="M64" s="82" t="s">
        <v>595</v>
      </c>
      <c r="N64" s="82" t="s">
        <v>930</v>
      </c>
      <c r="O64" s="79" t="s">
        <v>953</v>
      </c>
    </row>
    <row r="65" spans="1:15" x14ac:dyDescent="0.2">
      <c r="A65" s="162" t="s">
        <v>1158</v>
      </c>
      <c r="B65" s="137" t="s">
        <v>114</v>
      </c>
      <c r="C65" s="162" t="s">
        <v>1158</v>
      </c>
      <c r="D65" s="39" t="s">
        <v>814</v>
      </c>
      <c r="E65" s="79" t="s">
        <v>212</v>
      </c>
      <c r="F65" s="137" t="s">
        <v>114</v>
      </c>
      <c r="G65" s="79" t="s">
        <v>115</v>
      </c>
      <c r="H65" s="79" t="s">
        <v>213</v>
      </c>
      <c r="I65" s="79" t="s">
        <v>405</v>
      </c>
      <c r="J65" s="82" t="s">
        <v>320</v>
      </c>
      <c r="K65" s="82" t="s">
        <v>300</v>
      </c>
      <c r="L65" s="82" t="s">
        <v>505</v>
      </c>
      <c r="M65" s="82" t="s">
        <v>596</v>
      </c>
      <c r="N65" s="82" t="s">
        <v>952</v>
      </c>
      <c r="O65" s="79" t="s">
        <v>593</v>
      </c>
    </row>
    <row r="66" spans="1:15" x14ac:dyDescent="0.2">
      <c r="A66" s="162" t="s">
        <v>1157</v>
      </c>
      <c r="B66" s="137" t="s">
        <v>165</v>
      </c>
      <c r="C66" s="162" t="s">
        <v>1157</v>
      </c>
      <c r="D66" s="39" t="s">
        <v>814</v>
      </c>
      <c r="E66" s="79" t="s">
        <v>432</v>
      </c>
      <c r="F66" s="137" t="s">
        <v>165</v>
      </c>
      <c r="G66" s="79" t="s">
        <v>115</v>
      </c>
      <c r="H66" s="79" t="s">
        <v>433</v>
      </c>
      <c r="I66" s="79" t="s">
        <v>434</v>
      </c>
      <c r="J66" s="82" t="s">
        <v>320</v>
      </c>
      <c r="K66" s="82" t="s">
        <v>452</v>
      </c>
      <c r="L66" s="82" t="s">
        <v>524</v>
      </c>
      <c r="M66" s="82" t="s">
        <v>597</v>
      </c>
      <c r="N66" s="82" t="s">
        <v>965</v>
      </c>
      <c r="O66" s="79" t="s">
        <v>605</v>
      </c>
    </row>
    <row r="67" spans="1:15" x14ac:dyDescent="0.2">
      <c r="A67" s="162" t="s">
        <v>1158</v>
      </c>
      <c r="B67" s="137" t="s">
        <v>114</v>
      </c>
      <c r="C67" s="162" t="s">
        <v>1158</v>
      </c>
      <c r="D67" s="39" t="s">
        <v>814</v>
      </c>
      <c r="E67" s="79" t="s">
        <v>336</v>
      </c>
      <c r="F67" s="137" t="s">
        <v>114</v>
      </c>
      <c r="G67" s="79" t="s">
        <v>115</v>
      </c>
      <c r="H67" s="79" t="s">
        <v>337</v>
      </c>
      <c r="I67" s="79" t="s">
        <v>338</v>
      </c>
      <c r="J67" s="82" t="s">
        <v>320</v>
      </c>
      <c r="K67" s="82" t="s">
        <v>439</v>
      </c>
      <c r="L67" s="82" t="s">
        <v>461</v>
      </c>
      <c r="M67" s="82" t="s">
        <v>598</v>
      </c>
      <c r="N67" s="82" t="s">
        <v>920</v>
      </c>
      <c r="O67" s="79" t="s">
        <v>557</v>
      </c>
    </row>
    <row r="68" spans="1:15" x14ac:dyDescent="0.2">
      <c r="A68" s="162" t="s">
        <v>1158</v>
      </c>
      <c r="B68" s="137" t="s">
        <v>125</v>
      </c>
      <c r="C68" s="162" t="s">
        <v>1158</v>
      </c>
      <c r="D68" s="39" t="s">
        <v>814</v>
      </c>
      <c r="E68" s="79" t="s">
        <v>178</v>
      </c>
      <c r="F68" s="137" t="s">
        <v>125</v>
      </c>
      <c r="G68" s="79" t="s">
        <v>115</v>
      </c>
      <c r="H68" s="79" t="s">
        <v>179</v>
      </c>
      <c r="I68" s="79" t="s">
        <v>376</v>
      </c>
      <c r="J68" s="82" t="s">
        <v>320</v>
      </c>
      <c r="K68" s="82" t="s">
        <v>284</v>
      </c>
      <c r="L68" s="82" t="s">
        <v>487</v>
      </c>
      <c r="M68" s="82" t="s">
        <v>76</v>
      </c>
      <c r="N68" s="82" t="s">
        <v>940</v>
      </c>
      <c r="O68" s="79" t="s">
        <v>88</v>
      </c>
    </row>
    <row r="69" spans="1:15" x14ac:dyDescent="0.2">
      <c r="A69" s="162" t="s">
        <v>1158</v>
      </c>
      <c r="B69" s="139" t="s">
        <v>141</v>
      </c>
      <c r="C69" s="162" t="s">
        <v>1158</v>
      </c>
      <c r="D69" s="39" t="s">
        <v>814</v>
      </c>
      <c r="E69" s="81" t="s">
        <v>218</v>
      </c>
      <c r="F69" s="139" t="s">
        <v>141</v>
      </c>
      <c r="G69" s="81" t="s">
        <v>850</v>
      </c>
      <c r="H69" s="81" t="s">
        <v>219</v>
      </c>
      <c r="I69" s="81" t="s">
        <v>411</v>
      </c>
      <c r="J69" s="83" t="s">
        <v>253</v>
      </c>
      <c r="K69" s="83" t="s">
        <v>303</v>
      </c>
      <c r="L69" s="83" t="s">
        <v>509</v>
      </c>
      <c r="M69" s="83" t="s">
        <v>599</v>
      </c>
      <c r="N69" s="83" t="s">
        <v>978</v>
      </c>
      <c r="O69" s="81" t="s">
        <v>595</v>
      </c>
    </row>
    <row r="70" spans="1:15" x14ac:dyDescent="0.2">
      <c r="A70" s="162" t="s">
        <v>1158</v>
      </c>
      <c r="B70" s="137" t="s">
        <v>144</v>
      </c>
      <c r="C70" s="162" t="s">
        <v>1158</v>
      </c>
      <c r="D70" s="39" t="s">
        <v>814</v>
      </c>
      <c r="E70" s="79" t="s">
        <v>143</v>
      </c>
      <c r="F70" s="137" t="s">
        <v>144</v>
      </c>
      <c r="G70" s="79" t="s">
        <v>115</v>
      </c>
      <c r="H70" s="79" t="s">
        <v>145</v>
      </c>
      <c r="I70" s="79" t="s">
        <v>346</v>
      </c>
      <c r="J70" s="82" t="s">
        <v>320</v>
      </c>
      <c r="K70" s="82" t="s">
        <v>269</v>
      </c>
      <c r="L70" s="82" t="s">
        <v>467</v>
      </c>
      <c r="M70" s="82" t="s">
        <v>62</v>
      </c>
      <c r="N70" s="82" t="s">
        <v>923</v>
      </c>
      <c r="O70" s="79" t="s">
        <v>563</v>
      </c>
    </row>
    <row r="71" spans="1:15" x14ac:dyDescent="0.2">
      <c r="A71" s="162" t="s">
        <v>1158</v>
      </c>
      <c r="B71" s="137" t="s">
        <v>125</v>
      </c>
      <c r="C71" s="162" t="s">
        <v>1158</v>
      </c>
      <c r="D71" s="39" t="s">
        <v>814</v>
      </c>
      <c r="E71" s="79" t="s">
        <v>866</v>
      </c>
      <c r="F71" s="137" t="s">
        <v>125</v>
      </c>
      <c r="G71" s="79" t="s">
        <v>115</v>
      </c>
      <c r="H71" s="79" t="s">
        <v>217</v>
      </c>
      <c r="I71" s="79" t="s">
        <v>410</v>
      </c>
      <c r="J71" s="82" t="s">
        <v>320</v>
      </c>
      <c r="K71" s="82" t="s">
        <v>302</v>
      </c>
      <c r="L71" s="82" t="s">
        <v>903</v>
      </c>
      <c r="M71" s="82" t="s">
        <v>956</v>
      </c>
      <c r="N71" s="82" t="s">
        <v>957</v>
      </c>
      <c r="O71" s="79" t="s">
        <v>594</v>
      </c>
    </row>
    <row r="72" spans="1:15" x14ac:dyDescent="0.2">
      <c r="A72" s="162" t="s">
        <v>1158</v>
      </c>
      <c r="B72" s="138" t="s">
        <v>194</v>
      </c>
      <c r="C72" s="162" t="s">
        <v>1158</v>
      </c>
      <c r="D72" s="39" t="s">
        <v>814</v>
      </c>
      <c r="E72" s="107" t="s">
        <v>343</v>
      </c>
      <c r="F72" s="138" t="s">
        <v>194</v>
      </c>
      <c r="G72" s="107" t="s">
        <v>1018</v>
      </c>
      <c r="H72" s="107" t="s">
        <v>344</v>
      </c>
      <c r="I72" s="107" t="s">
        <v>345</v>
      </c>
      <c r="J72" s="108" t="s">
        <v>321</v>
      </c>
      <c r="K72" s="108" t="s">
        <v>440</v>
      </c>
      <c r="L72" s="108" t="s">
        <v>466</v>
      </c>
      <c r="M72" s="108" t="s">
        <v>79</v>
      </c>
      <c r="N72" s="108" t="s">
        <v>1022</v>
      </c>
      <c r="O72" s="107" t="s">
        <v>562</v>
      </c>
    </row>
    <row r="73" spans="1:15" x14ac:dyDescent="0.2">
      <c r="A73" s="162" t="s">
        <v>1158</v>
      </c>
      <c r="B73" s="137" t="s">
        <v>114</v>
      </c>
      <c r="C73" s="162" t="s">
        <v>1158</v>
      </c>
      <c r="D73" s="39" t="s">
        <v>814</v>
      </c>
      <c r="E73" s="79" t="s">
        <v>162</v>
      </c>
      <c r="F73" s="137" t="s">
        <v>114</v>
      </c>
      <c r="G73" s="79" t="s">
        <v>115</v>
      </c>
      <c r="H73" s="79" t="s">
        <v>163</v>
      </c>
      <c r="I73" s="79" t="s">
        <v>363</v>
      </c>
      <c r="J73" s="82" t="s">
        <v>320</v>
      </c>
      <c r="K73" s="82" t="s">
        <v>277</v>
      </c>
      <c r="L73" s="82" t="s">
        <v>478</v>
      </c>
      <c r="M73" s="82" t="s">
        <v>601</v>
      </c>
      <c r="N73" s="82" t="s">
        <v>931</v>
      </c>
      <c r="O73" s="79" t="s">
        <v>570</v>
      </c>
    </row>
    <row r="74" spans="1:15" x14ac:dyDescent="0.2">
      <c r="A74" s="162" t="s">
        <v>1158</v>
      </c>
      <c r="B74" s="137" t="s">
        <v>114</v>
      </c>
      <c r="C74" s="162" t="s">
        <v>1158</v>
      </c>
      <c r="D74" s="39" t="s">
        <v>814</v>
      </c>
      <c r="E74" s="79" t="s">
        <v>176</v>
      </c>
      <c r="F74" s="137" t="s">
        <v>114</v>
      </c>
      <c r="G74" s="79" t="s">
        <v>115</v>
      </c>
      <c r="H74" s="79" t="s">
        <v>177</v>
      </c>
      <c r="I74" s="79" t="s">
        <v>375</v>
      </c>
      <c r="J74" s="82" t="s">
        <v>320</v>
      </c>
      <c r="K74" s="82" t="s">
        <v>283</v>
      </c>
      <c r="L74" s="82" t="s">
        <v>486</v>
      </c>
      <c r="M74" s="82" t="s">
        <v>602</v>
      </c>
      <c r="N74" s="82" t="s">
        <v>939</v>
      </c>
      <c r="O74" s="79" t="s">
        <v>963</v>
      </c>
    </row>
    <row r="75" spans="1:15" x14ac:dyDescent="0.2">
      <c r="A75" s="162" t="s">
        <v>1158</v>
      </c>
      <c r="B75" s="137" t="s">
        <v>114</v>
      </c>
      <c r="C75" s="162" t="s">
        <v>1158</v>
      </c>
      <c r="D75" s="39" t="s">
        <v>814</v>
      </c>
      <c r="E75" s="79" t="s">
        <v>113</v>
      </c>
      <c r="F75" s="137" t="s">
        <v>114</v>
      </c>
      <c r="G75" s="79" t="s">
        <v>115</v>
      </c>
      <c r="H75" s="79" t="s">
        <v>116</v>
      </c>
      <c r="I75" s="79" t="s">
        <v>328</v>
      </c>
      <c r="J75" s="82" t="s">
        <v>320</v>
      </c>
      <c r="K75" s="82" t="s">
        <v>257</v>
      </c>
      <c r="L75" s="82" t="s">
        <v>453</v>
      </c>
      <c r="M75" s="82" t="s">
        <v>38</v>
      </c>
      <c r="N75" s="82" t="s">
        <v>912</v>
      </c>
      <c r="O75" s="79" t="s">
        <v>550</v>
      </c>
    </row>
    <row r="76" spans="1:15" x14ac:dyDescent="0.2">
      <c r="A76" s="162" t="s">
        <v>1158</v>
      </c>
      <c r="B76" s="139" t="s">
        <v>141</v>
      </c>
      <c r="C76" s="162" t="s">
        <v>1158</v>
      </c>
      <c r="D76" s="39" t="s">
        <v>814</v>
      </c>
      <c r="E76" s="81" t="s">
        <v>386</v>
      </c>
      <c r="F76" s="139" t="s">
        <v>141</v>
      </c>
      <c r="G76" s="81" t="s">
        <v>850</v>
      </c>
      <c r="H76" s="81" t="s">
        <v>388</v>
      </c>
      <c r="I76" s="81" t="s">
        <v>389</v>
      </c>
      <c r="J76" s="83" t="s">
        <v>253</v>
      </c>
      <c r="K76" s="83" t="s">
        <v>446</v>
      </c>
      <c r="L76" s="83" t="s">
        <v>453</v>
      </c>
      <c r="M76" s="83" t="s">
        <v>603</v>
      </c>
      <c r="N76" s="83" t="s">
        <v>974</v>
      </c>
      <c r="O76" s="81" t="s">
        <v>586</v>
      </c>
    </row>
    <row r="77" spans="1:15" x14ac:dyDescent="0.2">
      <c r="A77" s="162" t="s">
        <v>1158</v>
      </c>
      <c r="B77" s="137" t="s">
        <v>144</v>
      </c>
      <c r="C77" s="162" t="s">
        <v>1158</v>
      </c>
      <c r="D77" s="39" t="s">
        <v>814</v>
      </c>
      <c r="E77" s="79" t="s">
        <v>148</v>
      </c>
      <c r="F77" s="137" t="s">
        <v>144</v>
      </c>
      <c r="G77" s="79" t="s">
        <v>115</v>
      </c>
      <c r="H77" s="79" t="s">
        <v>149</v>
      </c>
      <c r="I77" s="79" t="s">
        <v>348</v>
      </c>
      <c r="J77" s="82" t="s">
        <v>320</v>
      </c>
      <c r="K77" s="82" t="s">
        <v>271</v>
      </c>
      <c r="L77" s="82" t="s">
        <v>469</v>
      </c>
      <c r="M77" s="82" t="s">
        <v>604</v>
      </c>
      <c r="N77" s="82" t="s">
        <v>925</v>
      </c>
      <c r="O77" s="79" t="s">
        <v>565</v>
      </c>
    </row>
    <row r="78" spans="1:15" x14ac:dyDescent="0.2">
      <c r="A78" s="162" t="s">
        <v>1158</v>
      </c>
      <c r="B78" s="137" t="s">
        <v>114</v>
      </c>
      <c r="C78" s="162" t="s">
        <v>1158</v>
      </c>
      <c r="D78" s="39" t="s">
        <v>814</v>
      </c>
      <c r="E78" s="79" t="s">
        <v>132</v>
      </c>
      <c r="F78" s="137" t="s">
        <v>114</v>
      </c>
      <c r="G78" s="79" t="s">
        <v>115</v>
      </c>
      <c r="H78" s="79" t="s">
        <v>133</v>
      </c>
      <c r="I78" s="79" t="s">
        <v>335</v>
      </c>
      <c r="J78" s="82" t="s">
        <v>320</v>
      </c>
      <c r="K78" s="82" t="s">
        <v>264</v>
      </c>
      <c r="L78" s="82" t="s">
        <v>460</v>
      </c>
      <c r="M78" s="82" t="s">
        <v>605</v>
      </c>
      <c r="N78" s="82" t="s">
        <v>919</v>
      </c>
      <c r="O78" s="79" t="s">
        <v>53</v>
      </c>
    </row>
    <row r="79" spans="1:15" x14ac:dyDescent="0.2">
      <c r="A79" s="162" t="s">
        <v>1158</v>
      </c>
      <c r="B79" s="139" t="s">
        <v>141</v>
      </c>
      <c r="C79" s="162" t="s">
        <v>1158</v>
      </c>
      <c r="D79" s="39" t="s">
        <v>814</v>
      </c>
      <c r="E79" s="81" t="s">
        <v>414</v>
      </c>
      <c r="F79" s="139" t="s">
        <v>141</v>
      </c>
      <c r="G79" s="81" t="s">
        <v>850</v>
      </c>
      <c r="H79" s="81" t="s">
        <v>415</v>
      </c>
      <c r="I79" s="81" t="s">
        <v>416</v>
      </c>
      <c r="J79" s="83" t="s">
        <v>253</v>
      </c>
      <c r="K79" s="83" t="s">
        <v>450</v>
      </c>
      <c r="L79" s="83" t="s">
        <v>512</v>
      </c>
      <c r="M79" s="83" t="s">
        <v>606</v>
      </c>
      <c r="N79" s="83" t="s">
        <v>979</v>
      </c>
      <c r="O79" s="81" t="s">
        <v>598</v>
      </c>
    </row>
    <row r="80" spans="1:15" x14ac:dyDescent="0.2">
      <c r="A80" s="162" t="s">
        <v>1158</v>
      </c>
      <c r="B80" s="139" t="s">
        <v>141</v>
      </c>
      <c r="C80" s="162" t="s">
        <v>1158</v>
      </c>
      <c r="D80" s="39" t="s">
        <v>814</v>
      </c>
      <c r="E80" s="81" t="s">
        <v>854</v>
      </c>
      <c r="F80" s="139" t="s">
        <v>141</v>
      </c>
      <c r="G80" s="81" t="s">
        <v>850</v>
      </c>
      <c r="H80" s="81" t="s">
        <v>855</v>
      </c>
      <c r="I80" s="81" t="s">
        <v>856</v>
      </c>
      <c r="J80" s="83" t="s">
        <v>253</v>
      </c>
      <c r="K80" s="83" t="s">
        <v>897</v>
      </c>
      <c r="L80" s="83" t="s">
        <v>898</v>
      </c>
      <c r="M80" s="83" t="s">
        <v>934</v>
      </c>
      <c r="N80" s="83" t="s">
        <v>971</v>
      </c>
      <c r="O80" s="81" t="s">
        <v>83</v>
      </c>
    </row>
    <row r="81" spans="1:15" x14ac:dyDescent="0.2">
      <c r="A81" s="162" t="s">
        <v>1158</v>
      </c>
      <c r="B81" s="138" t="s">
        <v>161</v>
      </c>
      <c r="C81" s="162" t="s">
        <v>1158</v>
      </c>
      <c r="D81" s="39" t="s">
        <v>814</v>
      </c>
      <c r="E81" s="107" t="s">
        <v>240</v>
      </c>
      <c r="F81" s="138" t="s">
        <v>161</v>
      </c>
      <c r="G81" s="107" t="s">
        <v>1018</v>
      </c>
      <c r="H81" s="107" t="s">
        <v>241</v>
      </c>
      <c r="I81" s="107" t="s">
        <v>430</v>
      </c>
      <c r="J81" s="108" t="s">
        <v>321</v>
      </c>
      <c r="K81" s="108" t="s">
        <v>314</v>
      </c>
      <c r="L81" s="108" t="s">
        <v>522</v>
      </c>
      <c r="M81" s="108" t="s">
        <v>607</v>
      </c>
      <c r="N81" s="108" t="s">
        <v>1031</v>
      </c>
      <c r="O81" s="107" t="s">
        <v>603</v>
      </c>
    </row>
    <row r="82" spans="1:15" x14ac:dyDescent="0.2">
      <c r="A82" s="162" t="s">
        <v>1158</v>
      </c>
      <c r="B82" s="139" t="s">
        <v>141</v>
      </c>
      <c r="C82" s="162" t="s">
        <v>1158</v>
      </c>
      <c r="D82" s="39" t="s">
        <v>814</v>
      </c>
      <c r="E82" s="81" t="s">
        <v>875</v>
      </c>
      <c r="F82" s="139" t="s">
        <v>141</v>
      </c>
      <c r="G82" s="81" t="s">
        <v>850</v>
      </c>
      <c r="H82" s="81" t="s">
        <v>876</v>
      </c>
      <c r="I82" s="81" t="s">
        <v>877</v>
      </c>
      <c r="J82" s="83" t="s">
        <v>253</v>
      </c>
      <c r="K82" s="83" t="s">
        <v>910</v>
      </c>
      <c r="L82" s="83" t="s">
        <v>911</v>
      </c>
      <c r="M82" s="83" t="s">
        <v>968</v>
      </c>
      <c r="N82" s="83" t="s">
        <v>984</v>
      </c>
      <c r="O82" s="81" t="s">
        <v>44</v>
      </c>
    </row>
    <row r="83" spans="1:15" x14ac:dyDescent="0.2">
      <c r="A83" s="162" t="s">
        <v>1158</v>
      </c>
      <c r="B83" s="139" t="s">
        <v>141</v>
      </c>
      <c r="C83" s="162" t="s">
        <v>1158</v>
      </c>
      <c r="D83" s="39" t="s">
        <v>814</v>
      </c>
      <c r="E83" s="81" t="s">
        <v>859</v>
      </c>
      <c r="F83" s="139" t="s">
        <v>141</v>
      </c>
      <c r="G83" s="81" t="s">
        <v>850</v>
      </c>
      <c r="H83" s="81" t="s">
        <v>188</v>
      </c>
      <c r="I83" s="81" t="s">
        <v>380</v>
      </c>
      <c r="J83" s="83" t="s">
        <v>253</v>
      </c>
      <c r="K83" s="83" t="s">
        <v>288</v>
      </c>
      <c r="L83" s="83" t="s">
        <v>491</v>
      </c>
      <c r="M83" s="83" t="s">
        <v>44</v>
      </c>
      <c r="N83" s="83" t="s">
        <v>972</v>
      </c>
      <c r="O83" s="81" t="s">
        <v>581</v>
      </c>
    </row>
    <row r="84" spans="1:15" x14ac:dyDescent="0.2">
      <c r="E84" s="50"/>
      <c r="F84" s="141"/>
      <c r="G84" s="50"/>
      <c r="H84" s="50"/>
      <c r="I84" s="50"/>
    </row>
    <row r="85" spans="1:15" x14ac:dyDescent="0.2">
      <c r="E85" s="175" t="s">
        <v>878</v>
      </c>
      <c r="F85" s="175"/>
      <c r="G85" s="175"/>
      <c r="H85" s="175"/>
      <c r="I85" s="175"/>
    </row>
    <row r="86" spans="1:15" x14ac:dyDescent="0.2">
      <c r="H86" s="176" t="s">
        <v>1019</v>
      </c>
      <c r="I86" s="177"/>
    </row>
    <row r="87" spans="1:15" x14ac:dyDescent="0.2">
      <c r="H87" s="178"/>
      <c r="I87" s="179"/>
    </row>
  </sheetData>
  <sortState ref="A7:O83">
    <sortCondition ref="M7:M83"/>
  </sortState>
  <mergeCells count="4">
    <mergeCell ref="E3:I4"/>
    <mergeCell ref="E5:I5"/>
    <mergeCell ref="E85:I85"/>
    <mergeCell ref="H86:I87"/>
  </mergeCells>
  <conditionalFormatting sqref="D7:D83">
    <cfRule type="containsText" dxfId="151" priority="3" operator="containsText" text="Exclude">
      <formula>NOT(ISERROR(SEARCH("Exclude",D7)))</formula>
    </cfRule>
    <cfRule type="containsText" dxfId="150" priority="4" operator="containsText" text="Valid">
      <formula>NOT(ISERROR(SEARCH("Valid",D7)))</formula>
    </cfRule>
    <cfRule type="containsText" dxfId="149" priority="5" operator="containsText" text="Unknown">
      <formula>NOT(ISERROR(SEARCH("Unknown",D7)))</formula>
    </cfRule>
  </conditionalFormatting>
  <conditionalFormatting sqref="A84:C500 A7:A83 C7:C83">
    <cfRule type="cellIs" dxfId="148" priority="1" operator="equal">
      <formula>"No"</formula>
    </cfRule>
    <cfRule type="cellIs" dxfId="147" priority="2" operator="equal">
      <formula>"Yes"</formula>
    </cfRule>
  </conditionalFormatting>
  <dataValidations count="1">
    <dataValidation type="list" showInputMessage="1" showErrorMessage="1" sqref="D7:D83">
      <formula1>"Unknown,Valid,Exclude"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atHRData">
                <anchor moveWithCells="1" sizeWithCells="1">
                  <from>
                    <xdr:col>3</xdr:col>
                    <xdr:colOff>0</xdr:colOff>
                    <xdr:row>3</xdr:row>
                    <xdr:rowOff>714375</xdr:rowOff>
                  </from>
                  <to>
                    <xdr:col>3</xdr:col>
                    <xdr:colOff>1476375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'Data-Templates'!$A$12:$A$13</xm:f>
          </x14:formula1>
          <xm:sqref>A7:A83 C7:C83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5"/>
  <sheetViews>
    <sheetView zoomScale="70" zoomScaleNormal="70" workbookViewId="0"/>
  </sheetViews>
  <sheetFormatPr defaultColWidth="45" defaultRowHeight="14.25" x14ac:dyDescent="0.2"/>
  <cols>
    <col min="1" max="1" width="17.25" bestFit="1" customWidth="1"/>
    <col min="2" max="2" width="13.375" bestFit="1" customWidth="1"/>
    <col min="3" max="3" width="34.125" bestFit="1" customWidth="1"/>
    <col min="4" max="4" width="23.5" bestFit="1" customWidth="1"/>
    <col min="5" max="5" width="58.375" bestFit="1" customWidth="1"/>
    <col min="6" max="6" width="17.625" bestFit="1" customWidth="1"/>
    <col min="7" max="7" width="10.125" bestFit="1" customWidth="1"/>
    <col min="8" max="8" width="16" bestFit="1" customWidth="1"/>
    <col min="9" max="9" width="12.75" bestFit="1" customWidth="1"/>
    <col min="10" max="10" width="26.25" bestFit="1" customWidth="1"/>
    <col min="11" max="11" width="30.5" bestFit="1" customWidth="1"/>
  </cols>
  <sheetData>
    <row r="1" spans="1:11" ht="15.75" x14ac:dyDescent="0.25">
      <c r="A1" s="85"/>
      <c r="B1" s="85"/>
      <c r="C1" s="86" t="s">
        <v>808</v>
      </c>
      <c r="D1" s="180" t="s">
        <v>1005</v>
      </c>
      <c r="E1" s="180"/>
      <c r="F1" s="180"/>
      <c r="G1" s="180"/>
      <c r="H1" s="180"/>
      <c r="I1" s="180"/>
      <c r="J1" s="180"/>
      <c r="K1" s="180"/>
    </row>
    <row r="2" spans="1:11" ht="15.75" x14ac:dyDescent="0.25">
      <c r="A2" s="85"/>
      <c r="B2" s="85"/>
      <c r="C2" s="110" t="s">
        <v>1038</v>
      </c>
      <c r="D2" s="110" t="s">
        <v>3</v>
      </c>
      <c r="E2" s="110" t="s">
        <v>326</v>
      </c>
      <c r="F2" s="110" t="s">
        <v>1017</v>
      </c>
      <c r="G2" s="110" t="s">
        <v>322</v>
      </c>
      <c r="H2" s="110" t="s">
        <v>111</v>
      </c>
      <c r="I2" s="110" t="s">
        <v>804</v>
      </c>
      <c r="J2" s="110"/>
      <c r="K2" s="110"/>
    </row>
    <row r="3" spans="1:11" ht="15.75" x14ac:dyDescent="0.25">
      <c r="A3" s="85"/>
      <c r="B3" s="85"/>
      <c r="C3" s="87"/>
      <c r="D3" s="87"/>
      <c r="E3" s="87"/>
      <c r="F3" s="87"/>
      <c r="G3" s="87"/>
      <c r="H3" s="87"/>
      <c r="I3" s="109"/>
      <c r="J3" s="109"/>
      <c r="K3" s="109"/>
    </row>
    <row r="4" spans="1:11" ht="15.75" x14ac:dyDescent="0.25">
      <c r="A4" s="85"/>
      <c r="B4" s="85"/>
      <c r="C4" s="87"/>
      <c r="D4" s="87"/>
      <c r="E4" s="88"/>
      <c r="F4" s="87"/>
      <c r="G4" s="87"/>
      <c r="H4" s="87"/>
      <c r="I4" s="111"/>
      <c r="J4" s="112"/>
      <c r="K4" s="112"/>
    </row>
    <row r="5" spans="1:11" ht="15.75" x14ac:dyDescent="0.25">
      <c r="A5" s="85"/>
      <c r="B5" s="85"/>
      <c r="C5" s="87"/>
      <c r="D5" s="87"/>
      <c r="E5" s="87"/>
      <c r="F5" s="87"/>
      <c r="G5" s="87" t="s">
        <v>1006</v>
      </c>
      <c r="H5" s="87" t="s">
        <v>1006</v>
      </c>
      <c r="I5" s="109"/>
      <c r="J5" s="109"/>
      <c r="K5" s="109"/>
    </row>
    <row r="6" spans="1:11" ht="15.75" x14ac:dyDescent="0.25">
      <c r="A6" s="85"/>
      <c r="B6" s="85"/>
      <c r="C6" s="87"/>
      <c r="D6" s="87"/>
      <c r="E6" s="87"/>
      <c r="F6" s="87"/>
      <c r="G6" s="87" t="s">
        <v>1006</v>
      </c>
      <c r="H6" s="87" t="s">
        <v>1006</v>
      </c>
      <c r="I6" s="109"/>
      <c r="J6" s="109"/>
      <c r="K6" s="109"/>
    </row>
    <row r="7" spans="1:11" ht="15.75" x14ac:dyDescent="0.25">
      <c r="A7" s="85"/>
      <c r="B7" s="85"/>
      <c r="C7" s="87"/>
      <c r="D7" s="87"/>
      <c r="E7" s="87"/>
      <c r="F7" s="87"/>
      <c r="G7" s="87" t="s">
        <v>1006</v>
      </c>
      <c r="H7" s="87" t="s">
        <v>1006</v>
      </c>
      <c r="I7" s="109"/>
      <c r="J7" s="109"/>
      <c r="K7" s="109"/>
    </row>
    <row r="8" spans="1:11" ht="15.75" x14ac:dyDescent="0.25">
      <c r="A8" s="85"/>
      <c r="B8" s="85"/>
      <c r="C8" s="87"/>
      <c r="D8" s="87"/>
      <c r="E8" s="87"/>
      <c r="F8" s="87"/>
      <c r="G8" s="87" t="s">
        <v>1006</v>
      </c>
      <c r="H8" s="87" t="s">
        <v>1006</v>
      </c>
      <c r="I8" s="109"/>
      <c r="J8" s="109"/>
      <c r="K8" s="109"/>
    </row>
    <row r="9" spans="1:11" ht="15.75" x14ac:dyDescent="0.25">
      <c r="A9" s="85"/>
      <c r="B9" s="85"/>
      <c r="C9" s="87"/>
      <c r="D9" s="87"/>
      <c r="E9" s="87"/>
      <c r="F9" s="87"/>
      <c r="G9" s="87" t="s">
        <v>1006</v>
      </c>
      <c r="H9" s="87" t="s">
        <v>1006</v>
      </c>
      <c r="I9" s="109"/>
      <c r="J9" s="109"/>
      <c r="K9" s="109"/>
    </row>
    <row r="10" spans="1:11" ht="15.75" x14ac:dyDescent="0.25">
      <c r="A10" s="85"/>
      <c r="B10" s="85"/>
      <c r="C10" s="87"/>
      <c r="D10" s="87"/>
      <c r="E10" s="87"/>
      <c r="F10" s="87"/>
      <c r="G10" s="87" t="s">
        <v>1006</v>
      </c>
      <c r="H10" s="87"/>
      <c r="I10" s="109"/>
      <c r="J10" s="109"/>
      <c r="K10" s="109"/>
    </row>
    <row r="11" spans="1:11" ht="15.75" x14ac:dyDescent="0.25">
      <c r="A11" s="85"/>
      <c r="B11" s="85"/>
      <c r="C11" s="87"/>
      <c r="D11" s="89"/>
      <c r="E11" s="89"/>
      <c r="F11" s="87"/>
      <c r="G11" s="87"/>
      <c r="H11" s="87"/>
      <c r="I11" s="109"/>
      <c r="J11" s="109"/>
      <c r="K11" s="109"/>
    </row>
    <row r="12" spans="1:11" ht="15.75" x14ac:dyDescent="0.25">
      <c r="A12" s="85"/>
      <c r="B12" s="85"/>
      <c r="C12" s="87"/>
      <c r="D12" s="87"/>
      <c r="E12" s="87"/>
      <c r="F12" s="87"/>
      <c r="G12" s="87"/>
      <c r="H12" s="87"/>
      <c r="I12" s="109"/>
      <c r="J12" s="109"/>
      <c r="K12" s="109"/>
    </row>
    <row r="13" spans="1:11" ht="15.75" x14ac:dyDescent="0.25">
      <c r="A13" s="85"/>
      <c r="B13" s="85"/>
      <c r="C13" s="87"/>
      <c r="D13" s="87"/>
      <c r="E13" s="87"/>
      <c r="F13" s="87"/>
      <c r="G13" s="87"/>
      <c r="H13" s="87"/>
      <c r="I13" s="109"/>
      <c r="J13" s="109"/>
      <c r="K13" s="109"/>
    </row>
    <row r="14" spans="1:11" ht="15.75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</row>
    <row r="15" spans="1:11" ht="15.75" x14ac:dyDescent="0.25">
      <c r="A15" s="85"/>
      <c r="B15" s="85"/>
      <c r="C15" s="116" t="s">
        <v>1007</v>
      </c>
      <c r="D15" s="116"/>
      <c r="E15" s="116"/>
      <c r="F15" s="116"/>
      <c r="G15" s="85"/>
      <c r="H15" s="85"/>
      <c r="I15" s="85"/>
      <c r="J15" s="85"/>
      <c r="K15" s="85"/>
    </row>
    <row r="16" spans="1:11" ht="15.75" x14ac:dyDescent="0.25">
      <c r="A16" s="85"/>
      <c r="B16" s="85"/>
      <c r="C16" s="117"/>
      <c r="D16" s="117"/>
      <c r="E16" s="117"/>
      <c r="F16" s="117"/>
      <c r="G16" s="85"/>
      <c r="H16" s="85"/>
      <c r="I16" s="85"/>
      <c r="J16" s="85"/>
      <c r="K16" s="85"/>
    </row>
    <row r="17" spans="1:11" ht="15.75" x14ac:dyDescent="0.25">
      <c r="A17" s="85"/>
      <c r="B17" s="85"/>
      <c r="C17" s="90"/>
      <c r="D17" s="91" t="s">
        <v>630</v>
      </c>
      <c r="E17" s="92" t="s">
        <v>1008</v>
      </c>
      <c r="F17" s="93" t="s">
        <v>1009</v>
      </c>
      <c r="G17" s="94" t="s">
        <v>884</v>
      </c>
      <c r="H17" s="95" t="s">
        <v>1010</v>
      </c>
      <c r="I17" s="96" t="s">
        <v>635</v>
      </c>
      <c r="J17" s="97" t="s">
        <v>634</v>
      </c>
      <c r="K17" s="85"/>
    </row>
    <row r="18" spans="1:11" ht="15.75" x14ac:dyDescent="0.25">
      <c r="A18" s="85"/>
      <c r="B18" s="85"/>
      <c r="C18" s="106" t="s">
        <v>1033</v>
      </c>
      <c r="D18" s="91" t="e">
        <f>COUNTIF(#REF!,"CF")</f>
        <v>#REF!</v>
      </c>
      <c r="E18" s="92" t="e">
        <f>COUNTIF(#REF!,E17)</f>
        <v>#REF!</v>
      </c>
      <c r="F18" s="93" t="e">
        <f>COUNTIF(#REF!,F17)</f>
        <v>#REF!</v>
      </c>
      <c r="G18" s="94" t="e">
        <f>COUNTIF(#REF!,G17)</f>
        <v>#REF!</v>
      </c>
      <c r="H18" s="95" t="e">
        <f>COUNTIF(#REF!,H17)</f>
        <v>#REF!</v>
      </c>
      <c r="I18" s="96" t="e">
        <f>SUM(E18:H18)</f>
        <v>#REF!</v>
      </c>
      <c r="J18" s="148">
        <f>COUNTIF(D28:D30,"")</f>
        <v>3</v>
      </c>
      <c r="K18" s="85"/>
    </row>
    <row r="19" spans="1:11" ht="15.75" x14ac:dyDescent="0.25">
      <c r="A19" s="85"/>
      <c r="B19" s="85"/>
      <c r="C19" s="98" t="s">
        <v>1011</v>
      </c>
      <c r="D19" s="98" t="s">
        <v>529</v>
      </c>
      <c r="E19" s="98" t="s">
        <v>107</v>
      </c>
      <c r="F19" s="118" t="s">
        <v>804</v>
      </c>
      <c r="G19" s="119"/>
      <c r="H19" s="119"/>
      <c r="I19" s="119"/>
      <c r="J19" s="120"/>
      <c r="K19" s="85"/>
    </row>
    <row r="20" spans="1:11" ht="15.75" x14ac:dyDescent="0.25">
      <c r="A20" s="85"/>
      <c r="B20" s="85"/>
      <c r="C20" s="106">
        <v>1</v>
      </c>
      <c r="D20" s="106"/>
      <c r="E20" s="106"/>
      <c r="F20" s="128"/>
      <c r="G20" s="129"/>
      <c r="H20" s="129"/>
      <c r="I20" s="129"/>
      <c r="J20" s="130"/>
      <c r="K20" s="85"/>
    </row>
    <row r="21" spans="1:11" ht="15.75" x14ac:dyDescent="0.25">
      <c r="A21" s="85"/>
      <c r="B21" s="85"/>
      <c r="C21" s="106">
        <v>2</v>
      </c>
      <c r="D21" s="106"/>
      <c r="E21" s="106"/>
      <c r="F21" s="128"/>
      <c r="G21" s="129"/>
      <c r="H21" s="129"/>
      <c r="I21" s="129"/>
      <c r="J21" s="130"/>
      <c r="K21" s="85"/>
    </row>
    <row r="22" spans="1:11" ht="15.75" x14ac:dyDescent="0.25">
      <c r="A22" s="85"/>
      <c r="B22" s="85"/>
      <c r="C22" s="106">
        <v>3</v>
      </c>
      <c r="D22" s="106"/>
      <c r="E22" s="106"/>
      <c r="F22" s="128"/>
      <c r="G22" s="129"/>
      <c r="H22" s="129"/>
      <c r="I22" s="129"/>
      <c r="J22" s="130"/>
      <c r="K22" s="85"/>
    </row>
    <row r="23" spans="1:11" ht="15.75" x14ac:dyDescent="0.25">
      <c r="A23" s="85"/>
      <c r="B23" s="85"/>
      <c r="C23" s="106">
        <v>4</v>
      </c>
      <c r="D23" s="131"/>
      <c r="E23" s="131"/>
      <c r="F23" s="132"/>
      <c r="G23" s="133"/>
      <c r="H23" s="133"/>
      <c r="I23" s="133"/>
      <c r="J23" s="134"/>
      <c r="K23" s="85"/>
    </row>
    <row r="24" spans="1:11" ht="15.75" x14ac:dyDescent="0.25">
      <c r="A24" s="85"/>
      <c r="B24" s="85"/>
      <c r="C24" s="106">
        <v>5</v>
      </c>
      <c r="D24" s="106"/>
      <c r="E24" s="106"/>
      <c r="F24" s="132"/>
      <c r="G24" s="133"/>
      <c r="H24" s="133"/>
      <c r="I24" s="133"/>
      <c r="J24" s="134"/>
      <c r="K24" s="85"/>
    </row>
    <row r="25" spans="1:11" ht="15.75" x14ac:dyDescent="0.25">
      <c r="A25" s="85"/>
      <c r="B25" s="85"/>
      <c r="C25" s="106">
        <v>6</v>
      </c>
      <c r="D25" s="106"/>
      <c r="E25" s="106"/>
      <c r="F25" s="132"/>
      <c r="G25" s="133"/>
      <c r="H25" s="133"/>
      <c r="I25" s="133"/>
      <c r="J25" s="134"/>
      <c r="K25" s="85"/>
    </row>
    <row r="26" spans="1:11" ht="15.75" x14ac:dyDescent="0.25">
      <c r="A26" s="85"/>
      <c r="B26" s="85"/>
      <c r="C26" s="106">
        <v>7</v>
      </c>
      <c r="D26" s="131"/>
      <c r="E26" s="131"/>
      <c r="F26" s="132"/>
      <c r="G26" s="133"/>
      <c r="H26" s="133"/>
      <c r="I26" s="133"/>
      <c r="J26" s="134"/>
      <c r="K26" s="85"/>
    </row>
    <row r="27" spans="1:11" ht="15.75" x14ac:dyDescent="0.25">
      <c r="A27" s="85"/>
      <c r="B27" s="85"/>
      <c r="C27" s="106">
        <v>8</v>
      </c>
      <c r="D27" s="106"/>
      <c r="E27" s="106"/>
      <c r="F27" s="132"/>
      <c r="G27" s="133"/>
      <c r="H27" s="133"/>
      <c r="I27" s="133"/>
      <c r="J27" s="134"/>
      <c r="K27" s="85"/>
    </row>
    <row r="28" spans="1:11" ht="15.75" x14ac:dyDescent="0.25">
      <c r="A28" s="85"/>
      <c r="B28" s="85"/>
      <c r="C28" s="106">
        <v>9</v>
      </c>
      <c r="D28" s="131"/>
      <c r="E28" s="131"/>
      <c r="F28" s="132"/>
      <c r="G28" s="133"/>
      <c r="H28" s="133"/>
      <c r="I28" s="133"/>
      <c r="J28" s="134"/>
      <c r="K28" s="85"/>
    </row>
    <row r="29" spans="1:11" ht="15.75" x14ac:dyDescent="0.25">
      <c r="A29" s="85"/>
      <c r="B29" s="85"/>
      <c r="C29" s="106">
        <v>10</v>
      </c>
      <c r="D29" s="106"/>
      <c r="E29" s="106"/>
      <c r="F29" s="132"/>
      <c r="G29" s="133"/>
      <c r="H29" s="133"/>
      <c r="I29" s="133"/>
      <c r="J29" s="134"/>
      <c r="K29" s="85"/>
    </row>
    <row r="30" spans="1:11" ht="15.75" x14ac:dyDescent="0.25">
      <c r="A30" s="85"/>
      <c r="B30" s="85"/>
      <c r="C30" s="106">
        <v>11</v>
      </c>
      <c r="D30" s="106"/>
      <c r="E30" s="106"/>
      <c r="F30" s="132"/>
      <c r="G30" s="133"/>
      <c r="H30" s="133"/>
      <c r="I30" s="133"/>
      <c r="J30" s="134"/>
      <c r="K30" s="85"/>
    </row>
    <row r="31" spans="1:11" ht="15.75" x14ac:dyDescent="0.25">
      <c r="A31" s="85"/>
      <c r="B31" s="85"/>
      <c r="C31" s="99"/>
      <c r="D31" s="99"/>
      <c r="E31" s="99"/>
      <c r="F31" s="99"/>
      <c r="G31" s="99"/>
      <c r="H31" s="99"/>
      <c r="I31" s="99"/>
      <c r="J31" s="99"/>
      <c r="K31" s="85"/>
    </row>
    <row r="32" spans="1:11" ht="15.75" x14ac:dyDescent="0.2">
      <c r="A32" s="100" t="s">
        <v>887</v>
      </c>
      <c r="B32" s="100" t="s">
        <v>1012</v>
      </c>
      <c r="C32" s="100" t="s">
        <v>108</v>
      </c>
      <c r="D32" s="100" t="s">
        <v>802</v>
      </c>
      <c r="E32" s="100" t="s">
        <v>109</v>
      </c>
      <c r="F32" s="100" t="s">
        <v>112</v>
      </c>
      <c r="G32" s="100" t="s">
        <v>111</v>
      </c>
      <c r="H32" s="100" t="s">
        <v>255</v>
      </c>
      <c r="I32" s="100" t="s">
        <v>256</v>
      </c>
      <c r="J32" s="100" t="s">
        <v>254</v>
      </c>
      <c r="K32" s="100" t="s">
        <v>803</v>
      </c>
    </row>
    <row r="33" spans="1:11" ht="15.75" x14ac:dyDescent="0.25">
      <c r="A33" s="87" t="s">
        <v>890</v>
      </c>
      <c r="B33" s="87" t="s">
        <v>1009</v>
      </c>
      <c r="C33" s="82" t="s">
        <v>553</v>
      </c>
      <c r="D33" s="79" t="s">
        <v>164</v>
      </c>
      <c r="E33" s="79" t="s">
        <v>114</v>
      </c>
      <c r="F33" s="79" t="s">
        <v>166</v>
      </c>
      <c r="G33" s="82" t="s">
        <v>320</v>
      </c>
      <c r="H33" s="82" t="s">
        <v>278</v>
      </c>
      <c r="I33" s="82" t="s">
        <v>480</v>
      </c>
      <c r="J33" s="82" t="s">
        <v>933</v>
      </c>
      <c r="K33" s="82" t="s">
        <v>1076</v>
      </c>
    </row>
    <row r="34" spans="1:11" ht="15.75" x14ac:dyDescent="0.25">
      <c r="A34" s="87" t="s">
        <v>890</v>
      </c>
      <c r="B34" s="87" t="s">
        <v>1009</v>
      </c>
      <c r="C34" s="82" t="s">
        <v>555</v>
      </c>
      <c r="D34" s="79" t="s">
        <v>368</v>
      </c>
      <c r="E34" s="79" t="s">
        <v>165</v>
      </c>
      <c r="F34" s="79" t="s">
        <v>369</v>
      </c>
      <c r="G34" s="82" t="s">
        <v>320</v>
      </c>
      <c r="H34" s="82" t="s">
        <v>445</v>
      </c>
      <c r="I34" s="82" t="s">
        <v>481</v>
      </c>
      <c r="J34" s="82" t="s">
        <v>935</v>
      </c>
      <c r="K34" s="82" t="s">
        <v>1077</v>
      </c>
    </row>
    <row r="35" spans="1:11" ht="15.75" x14ac:dyDescent="0.25">
      <c r="A35" s="87" t="s">
        <v>890</v>
      </c>
      <c r="B35" s="87" t="s">
        <v>1009</v>
      </c>
      <c r="C35" s="82" t="s">
        <v>85</v>
      </c>
      <c r="D35" s="79" t="s">
        <v>120</v>
      </c>
      <c r="E35" s="79" t="s">
        <v>114</v>
      </c>
      <c r="F35" s="79" t="s">
        <v>121</v>
      </c>
      <c r="G35" s="82" t="s">
        <v>320</v>
      </c>
      <c r="H35" s="82" t="s">
        <v>259</v>
      </c>
      <c r="I35" s="82" t="s">
        <v>455</v>
      </c>
      <c r="J35" s="82" t="s">
        <v>913</v>
      </c>
      <c r="K35" s="82" t="s">
        <v>1078</v>
      </c>
    </row>
    <row r="36" spans="1:11" ht="15.75" x14ac:dyDescent="0.25">
      <c r="A36" s="87" t="s">
        <v>890</v>
      </c>
      <c r="B36" s="87" t="s">
        <v>1009</v>
      </c>
      <c r="C36" s="82" t="s">
        <v>557</v>
      </c>
      <c r="D36" s="79" t="s">
        <v>189</v>
      </c>
      <c r="E36" s="79" t="s">
        <v>125</v>
      </c>
      <c r="F36" s="79" t="s">
        <v>190</v>
      </c>
      <c r="G36" s="82" t="s">
        <v>320</v>
      </c>
      <c r="H36" s="82" t="s">
        <v>289</v>
      </c>
      <c r="I36" s="82" t="s">
        <v>492</v>
      </c>
      <c r="J36" s="82" t="s">
        <v>943</v>
      </c>
      <c r="K36" s="82" t="s">
        <v>1079</v>
      </c>
    </row>
    <row r="37" spans="1:11" ht="15.75" x14ac:dyDescent="0.25">
      <c r="A37" s="87" t="s">
        <v>890</v>
      </c>
      <c r="B37" s="87" t="s">
        <v>1009</v>
      </c>
      <c r="C37" s="82" t="s">
        <v>558</v>
      </c>
      <c r="D37" s="79" t="s">
        <v>159</v>
      </c>
      <c r="E37" s="79" t="s">
        <v>114</v>
      </c>
      <c r="F37" s="79" t="s">
        <v>160</v>
      </c>
      <c r="G37" s="82" t="s">
        <v>320</v>
      </c>
      <c r="H37" s="82" t="s">
        <v>276</v>
      </c>
      <c r="I37" s="82" t="s">
        <v>476</v>
      </c>
      <c r="J37" s="82" t="s">
        <v>929</v>
      </c>
      <c r="K37" s="82" t="s">
        <v>1080</v>
      </c>
    </row>
    <row r="38" spans="1:11" ht="15.75" x14ac:dyDescent="0.25">
      <c r="A38" s="87" t="s">
        <v>890</v>
      </c>
      <c r="B38" s="87" t="s">
        <v>1009</v>
      </c>
      <c r="C38" s="82" t="s">
        <v>559</v>
      </c>
      <c r="D38" s="79" t="s">
        <v>182</v>
      </c>
      <c r="E38" s="79" t="s">
        <v>125</v>
      </c>
      <c r="F38" s="79" t="s">
        <v>183</v>
      </c>
      <c r="G38" s="82" t="s">
        <v>320</v>
      </c>
      <c r="H38" s="82" t="s">
        <v>286</v>
      </c>
      <c r="I38" s="82" t="s">
        <v>489</v>
      </c>
      <c r="J38" s="82" t="s">
        <v>942</v>
      </c>
      <c r="K38" s="82" t="s">
        <v>1081</v>
      </c>
    </row>
    <row r="39" spans="1:11" ht="15.75" x14ac:dyDescent="0.25">
      <c r="A39" s="87" t="s">
        <v>890</v>
      </c>
      <c r="B39" s="87" t="s">
        <v>1009</v>
      </c>
      <c r="C39" s="82" t="s">
        <v>561</v>
      </c>
      <c r="D39" s="79" t="s">
        <v>130</v>
      </c>
      <c r="E39" s="79" t="s">
        <v>125</v>
      </c>
      <c r="F39" s="79" t="s">
        <v>131</v>
      </c>
      <c r="G39" s="82" t="s">
        <v>320</v>
      </c>
      <c r="H39" s="82" t="s">
        <v>263</v>
      </c>
      <c r="I39" s="82" t="s">
        <v>459</v>
      </c>
      <c r="J39" s="82" t="s">
        <v>918</v>
      </c>
      <c r="K39" s="82" t="s">
        <v>1082</v>
      </c>
    </row>
    <row r="40" spans="1:11" ht="15.75" x14ac:dyDescent="0.25">
      <c r="A40" s="87" t="s">
        <v>890</v>
      </c>
      <c r="B40" s="87" t="s">
        <v>1009</v>
      </c>
      <c r="C40" s="82" t="s">
        <v>563</v>
      </c>
      <c r="D40" s="79" t="s">
        <v>214</v>
      </c>
      <c r="E40" s="79" t="s">
        <v>114</v>
      </c>
      <c r="F40" s="79" t="s">
        <v>215</v>
      </c>
      <c r="G40" s="82" t="s">
        <v>320</v>
      </c>
      <c r="H40" s="82" t="s">
        <v>301</v>
      </c>
      <c r="I40" s="82" t="s">
        <v>507</v>
      </c>
      <c r="J40" s="82" t="s">
        <v>955</v>
      </c>
      <c r="K40" s="82" t="s">
        <v>1083</v>
      </c>
    </row>
    <row r="41" spans="1:11" ht="15.75" x14ac:dyDescent="0.25">
      <c r="A41" s="87" t="s">
        <v>890</v>
      </c>
      <c r="B41" s="87" t="s">
        <v>1009</v>
      </c>
      <c r="C41" s="82" t="s">
        <v>566</v>
      </c>
      <c r="D41" s="79" t="s">
        <v>146</v>
      </c>
      <c r="E41" s="79" t="s">
        <v>114</v>
      </c>
      <c r="F41" s="79" t="s">
        <v>147</v>
      </c>
      <c r="G41" s="82" t="s">
        <v>320</v>
      </c>
      <c r="H41" s="82" t="s">
        <v>270</v>
      </c>
      <c r="I41" s="82" t="s">
        <v>468</v>
      </c>
      <c r="J41" s="82" t="s">
        <v>924</v>
      </c>
      <c r="K41" s="82" t="s">
        <v>1084</v>
      </c>
    </row>
    <row r="42" spans="1:11" ht="15.75" x14ac:dyDescent="0.25">
      <c r="A42" s="87" t="s">
        <v>890</v>
      </c>
      <c r="B42" s="87" t="s">
        <v>1009</v>
      </c>
      <c r="C42" s="82" t="s">
        <v>567</v>
      </c>
      <c r="D42" s="79" t="s">
        <v>198</v>
      </c>
      <c r="E42" s="79" t="s">
        <v>125</v>
      </c>
      <c r="F42" s="79" t="s">
        <v>199</v>
      </c>
      <c r="G42" s="82" t="s">
        <v>320</v>
      </c>
      <c r="H42" s="82" t="s">
        <v>293</v>
      </c>
      <c r="I42" s="82" t="s">
        <v>496</v>
      </c>
      <c r="J42" s="82" t="s">
        <v>945</v>
      </c>
      <c r="K42" s="82" t="s">
        <v>1085</v>
      </c>
    </row>
    <row r="43" spans="1:11" ht="15.75" x14ac:dyDescent="0.25">
      <c r="A43" s="87" t="s">
        <v>890</v>
      </c>
      <c r="B43" s="87" t="s">
        <v>1009</v>
      </c>
      <c r="C43" s="82" t="s">
        <v>568</v>
      </c>
      <c r="D43" s="79" t="s">
        <v>170</v>
      </c>
      <c r="E43" s="79" t="s">
        <v>144</v>
      </c>
      <c r="F43" s="79" t="s">
        <v>171</v>
      </c>
      <c r="G43" s="82" t="s">
        <v>320</v>
      </c>
      <c r="H43" s="82" t="s">
        <v>280</v>
      </c>
      <c r="I43" s="82" t="s">
        <v>483</v>
      </c>
      <c r="J43" s="82" t="s">
        <v>936</v>
      </c>
      <c r="K43" s="82" t="s">
        <v>1086</v>
      </c>
    </row>
    <row r="44" spans="1:11" ht="15.75" x14ac:dyDescent="0.25">
      <c r="A44" s="87" t="s">
        <v>890</v>
      </c>
      <c r="B44" s="87" t="s">
        <v>1009</v>
      </c>
      <c r="C44" s="82" t="s">
        <v>569</v>
      </c>
      <c r="D44" s="79" t="s">
        <v>246</v>
      </c>
      <c r="E44" s="79" t="s">
        <v>144</v>
      </c>
      <c r="F44" s="79" t="s">
        <v>247</v>
      </c>
      <c r="G44" s="82" t="s">
        <v>320</v>
      </c>
      <c r="H44" s="82" t="s">
        <v>317</v>
      </c>
      <c r="I44" s="82" t="s">
        <v>526</v>
      </c>
      <c r="J44" s="82" t="s">
        <v>966</v>
      </c>
      <c r="K44" s="82" t="s">
        <v>1087</v>
      </c>
    </row>
    <row r="45" spans="1:11" ht="15.75" x14ac:dyDescent="0.25">
      <c r="A45" s="87" t="s">
        <v>890</v>
      </c>
      <c r="B45" s="87" t="s">
        <v>1009</v>
      </c>
      <c r="C45" s="82" t="s">
        <v>953</v>
      </c>
      <c r="D45" s="79" t="s">
        <v>863</v>
      </c>
      <c r="E45" s="79" t="s">
        <v>114</v>
      </c>
      <c r="F45" s="79" t="s">
        <v>864</v>
      </c>
      <c r="G45" s="82" t="s">
        <v>320</v>
      </c>
      <c r="H45" s="82" t="s">
        <v>901</v>
      </c>
      <c r="I45" s="82" t="s">
        <v>902</v>
      </c>
      <c r="J45" s="82" t="s">
        <v>954</v>
      </c>
      <c r="K45" s="82" t="s">
        <v>1088</v>
      </c>
    </row>
    <row r="46" spans="1:11" ht="15.75" x14ac:dyDescent="0.25">
      <c r="A46" s="87" t="s">
        <v>890</v>
      </c>
      <c r="B46" s="87" t="s">
        <v>1009</v>
      </c>
      <c r="C46" s="82" t="s">
        <v>59</v>
      </c>
      <c r="D46" s="79" t="s">
        <v>134</v>
      </c>
      <c r="E46" s="79" t="s">
        <v>125</v>
      </c>
      <c r="F46" s="79" t="s">
        <v>135</v>
      </c>
      <c r="G46" s="82" t="s">
        <v>320</v>
      </c>
      <c r="H46" s="82" t="s">
        <v>265</v>
      </c>
      <c r="I46" s="82" t="s">
        <v>462</v>
      </c>
      <c r="J46" s="82" t="s">
        <v>921</v>
      </c>
      <c r="K46" s="82" t="s">
        <v>1089</v>
      </c>
    </row>
    <row r="47" spans="1:11" ht="15.75" x14ac:dyDescent="0.25">
      <c r="A47" s="87" t="s">
        <v>890</v>
      </c>
      <c r="B47" s="87" t="s">
        <v>1009</v>
      </c>
      <c r="C47" s="82" t="s">
        <v>571</v>
      </c>
      <c r="D47" s="79" t="s">
        <v>356</v>
      </c>
      <c r="E47" s="79" t="s">
        <v>125</v>
      </c>
      <c r="F47" s="79" t="s">
        <v>357</v>
      </c>
      <c r="G47" s="82" t="s">
        <v>320</v>
      </c>
      <c r="H47" s="82" t="s">
        <v>442</v>
      </c>
      <c r="I47" s="82" t="s">
        <v>475</v>
      </c>
      <c r="J47" s="82" t="s">
        <v>928</v>
      </c>
      <c r="K47" s="82" t="s">
        <v>1090</v>
      </c>
    </row>
    <row r="48" spans="1:11" ht="15.75" x14ac:dyDescent="0.25">
      <c r="A48" s="87" t="s">
        <v>890</v>
      </c>
      <c r="B48" s="87" t="s">
        <v>1009</v>
      </c>
      <c r="C48" s="82" t="s">
        <v>572</v>
      </c>
      <c r="D48" s="79" t="s">
        <v>191</v>
      </c>
      <c r="E48" s="79" t="s">
        <v>125</v>
      </c>
      <c r="F48" s="79" t="s">
        <v>192</v>
      </c>
      <c r="G48" s="82" t="s">
        <v>320</v>
      </c>
      <c r="H48" s="82" t="s">
        <v>290</v>
      </c>
      <c r="I48" s="82" t="s">
        <v>493</v>
      </c>
      <c r="J48" s="82" t="s">
        <v>944</v>
      </c>
      <c r="K48" s="82" t="s">
        <v>1091</v>
      </c>
    </row>
    <row r="49" spans="1:11" ht="15.75" x14ac:dyDescent="0.25">
      <c r="A49" s="87" t="s">
        <v>890</v>
      </c>
      <c r="B49" s="87" t="s">
        <v>1009</v>
      </c>
      <c r="C49" s="82" t="s">
        <v>574</v>
      </c>
      <c r="D49" s="79" t="s">
        <v>397</v>
      </c>
      <c r="E49" s="79" t="s">
        <v>398</v>
      </c>
      <c r="F49" s="79" t="s">
        <v>399</v>
      </c>
      <c r="G49" s="82" t="s">
        <v>320</v>
      </c>
      <c r="H49" s="82" t="s">
        <v>448</v>
      </c>
      <c r="I49" s="82" t="s">
        <v>500</v>
      </c>
      <c r="J49" s="82" t="s">
        <v>949</v>
      </c>
      <c r="K49" s="82" t="s">
        <v>1092</v>
      </c>
    </row>
    <row r="50" spans="1:11" ht="15.75" x14ac:dyDescent="0.25">
      <c r="A50" s="87" t="s">
        <v>890</v>
      </c>
      <c r="B50" s="87" t="s">
        <v>1009</v>
      </c>
      <c r="C50" s="82" t="s">
        <v>575</v>
      </c>
      <c r="D50" s="79" t="s">
        <v>220</v>
      </c>
      <c r="E50" s="79" t="s">
        <v>114</v>
      </c>
      <c r="F50" s="79" t="s">
        <v>221</v>
      </c>
      <c r="G50" s="82" t="s">
        <v>320</v>
      </c>
      <c r="H50" s="82" t="s">
        <v>304</v>
      </c>
      <c r="I50" s="82" t="s">
        <v>510</v>
      </c>
      <c r="J50" s="82" t="s">
        <v>958</v>
      </c>
      <c r="K50" s="82" t="s">
        <v>1093</v>
      </c>
    </row>
    <row r="51" spans="1:11" ht="15.75" x14ac:dyDescent="0.25">
      <c r="A51" s="87" t="s">
        <v>890</v>
      </c>
      <c r="B51" s="87" t="s">
        <v>1009</v>
      </c>
      <c r="C51" s="82" t="s">
        <v>88</v>
      </c>
      <c r="D51" s="79" t="s">
        <v>152</v>
      </c>
      <c r="E51" s="79" t="s">
        <v>114</v>
      </c>
      <c r="F51" s="79" t="s">
        <v>153</v>
      </c>
      <c r="G51" s="82" t="s">
        <v>320</v>
      </c>
      <c r="H51" s="82" t="s">
        <v>273</v>
      </c>
      <c r="I51" s="82" t="s">
        <v>472</v>
      </c>
      <c r="J51" s="82" t="s">
        <v>927</v>
      </c>
      <c r="K51" s="82" t="s">
        <v>1094</v>
      </c>
    </row>
    <row r="52" spans="1:11" ht="15.75" x14ac:dyDescent="0.25">
      <c r="A52" s="87" t="s">
        <v>890</v>
      </c>
      <c r="B52" s="87" t="s">
        <v>1009</v>
      </c>
      <c r="C52" s="82" t="s">
        <v>579</v>
      </c>
      <c r="D52" s="79" t="s">
        <v>208</v>
      </c>
      <c r="E52" s="79" t="s">
        <v>114</v>
      </c>
      <c r="F52" s="79" t="s">
        <v>209</v>
      </c>
      <c r="G52" s="82" t="s">
        <v>320</v>
      </c>
      <c r="H52" s="82" t="s">
        <v>298</v>
      </c>
      <c r="I52" s="82" t="s">
        <v>503</v>
      </c>
      <c r="J52" s="82" t="s">
        <v>951</v>
      </c>
      <c r="K52" s="82" t="s">
        <v>1095</v>
      </c>
    </row>
    <row r="53" spans="1:11" ht="15.75" x14ac:dyDescent="0.25">
      <c r="A53" s="87" t="s">
        <v>890</v>
      </c>
      <c r="B53" s="87" t="s">
        <v>1009</v>
      </c>
      <c r="C53" s="82" t="s">
        <v>582</v>
      </c>
      <c r="D53" s="79" t="s">
        <v>222</v>
      </c>
      <c r="E53" s="79" t="s">
        <v>114</v>
      </c>
      <c r="F53" s="79" t="s">
        <v>223</v>
      </c>
      <c r="G53" s="82" t="s">
        <v>320</v>
      </c>
      <c r="H53" s="82" t="s">
        <v>305</v>
      </c>
      <c r="I53" s="82" t="s">
        <v>511</v>
      </c>
      <c r="J53" s="82" t="s">
        <v>959</v>
      </c>
      <c r="K53" s="82" t="s">
        <v>1096</v>
      </c>
    </row>
    <row r="54" spans="1:11" ht="15.75" x14ac:dyDescent="0.25">
      <c r="A54" s="87" t="s">
        <v>890</v>
      </c>
      <c r="B54" s="87" t="s">
        <v>1009</v>
      </c>
      <c r="C54" s="82" t="s">
        <v>583</v>
      </c>
      <c r="D54" s="79" t="s">
        <v>122</v>
      </c>
      <c r="E54" s="79" t="s">
        <v>114</v>
      </c>
      <c r="F54" s="79" t="s">
        <v>123</v>
      </c>
      <c r="G54" s="82" t="s">
        <v>320</v>
      </c>
      <c r="H54" s="82" t="s">
        <v>260</v>
      </c>
      <c r="I54" s="82" t="s">
        <v>456</v>
      </c>
      <c r="J54" s="82" t="s">
        <v>914</v>
      </c>
      <c r="K54" s="82" t="s">
        <v>1097</v>
      </c>
    </row>
    <row r="55" spans="1:11" ht="15.75" x14ac:dyDescent="0.25">
      <c r="A55" s="87" t="s">
        <v>890</v>
      </c>
      <c r="B55" s="87" t="s">
        <v>1009</v>
      </c>
      <c r="C55" s="82" t="s">
        <v>915</v>
      </c>
      <c r="D55" s="79" t="s">
        <v>851</v>
      </c>
      <c r="E55" s="79" t="s">
        <v>114</v>
      </c>
      <c r="F55" s="79" t="s">
        <v>852</v>
      </c>
      <c r="G55" s="82" t="s">
        <v>320</v>
      </c>
      <c r="H55" s="82" t="s">
        <v>894</v>
      </c>
      <c r="I55" s="82" t="s">
        <v>895</v>
      </c>
      <c r="J55" s="82" t="s">
        <v>916</v>
      </c>
      <c r="K55" s="82" t="s">
        <v>1098</v>
      </c>
    </row>
    <row r="56" spans="1:11" ht="15.75" x14ac:dyDescent="0.25">
      <c r="A56" s="87" t="s">
        <v>890</v>
      </c>
      <c r="B56" s="87" t="s">
        <v>1009</v>
      </c>
      <c r="C56" s="82" t="s">
        <v>584</v>
      </c>
      <c r="D56" s="79" t="s">
        <v>364</v>
      </c>
      <c r="E56" s="79" t="s">
        <v>144</v>
      </c>
      <c r="F56" s="79" t="s">
        <v>365</v>
      </c>
      <c r="G56" s="82" t="s">
        <v>320</v>
      </c>
      <c r="H56" s="82" t="s">
        <v>444</v>
      </c>
      <c r="I56" s="82" t="s">
        <v>479</v>
      </c>
      <c r="J56" s="82" t="s">
        <v>932</v>
      </c>
      <c r="K56" s="82" t="s">
        <v>1099</v>
      </c>
    </row>
    <row r="57" spans="1:11" ht="15.75" x14ac:dyDescent="0.25">
      <c r="A57" s="87" t="s">
        <v>890</v>
      </c>
      <c r="B57" s="87" t="s">
        <v>1009</v>
      </c>
      <c r="C57" s="82" t="s">
        <v>586</v>
      </c>
      <c r="D57" s="79" t="s">
        <v>174</v>
      </c>
      <c r="E57" s="79" t="s">
        <v>114</v>
      </c>
      <c r="F57" s="79" t="s">
        <v>175</v>
      </c>
      <c r="G57" s="82" t="s">
        <v>320</v>
      </c>
      <c r="H57" s="82" t="s">
        <v>282</v>
      </c>
      <c r="I57" s="82" t="s">
        <v>485</v>
      </c>
      <c r="J57" s="82" t="s">
        <v>938</v>
      </c>
      <c r="K57" s="82" t="s">
        <v>1100</v>
      </c>
    </row>
    <row r="58" spans="1:11" ht="15.75" x14ac:dyDescent="0.25">
      <c r="A58" s="87" t="s">
        <v>890</v>
      </c>
      <c r="B58" s="87" t="s">
        <v>1009</v>
      </c>
      <c r="C58" s="82" t="s">
        <v>587</v>
      </c>
      <c r="D58" s="79" t="s">
        <v>138</v>
      </c>
      <c r="E58" s="79" t="s">
        <v>114</v>
      </c>
      <c r="F58" s="79" t="s">
        <v>139</v>
      </c>
      <c r="G58" s="82" t="s">
        <v>320</v>
      </c>
      <c r="H58" s="82" t="s">
        <v>267</v>
      </c>
      <c r="I58" s="82" t="s">
        <v>464</v>
      </c>
      <c r="J58" s="82" t="s">
        <v>922</v>
      </c>
      <c r="K58" s="82" t="s">
        <v>1101</v>
      </c>
    </row>
    <row r="59" spans="1:11" ht="15.75" x14ac:dyDescent="0.25">
      <c r="A59" s="87" t="s">
        <v>890</v>
      </c>
      <c r="B59" s="87" t="s">
        <v>1009</v>
      </c>
      <c r="C59" s="82" t="s">
        <v>588</v>
      </c>
      <c r="D59" s="79" t="s">
        <v>232</v>
      </c>
      <c r="E59" s="79" t="s">
        <v>125</v>
      </c>
      <c r="F59" s="79" t="s">
        <v>233</v>
      </c>
      <c r="G59" s="82" t="s">
        <v>320</v>
      </c>
      <c r="H59" s="82" t="s">
        <v>310</v>
      </c>
      <c r="I59" s="82" t="s">
        <v>518</v>
      </c>
      <c r="J59" s="82" t="s">
        <v>962</v>
      </c>
      <c r="K59" s="82" t="s">
        <v>1102</v>
      </c>
    </row>
    <row r="60" spans="1:11" ht="15.75" x14ac:dyDescent="0.25">
      <c r="A60" s="87" t="s">
        <v>890</v>
      </c>
      <c r="B60" s="87" t="s">
        <v>1009</v>
      </c>
      <c r="C60" s="82" t="s">
        <v>589</v>
      </c>
      <c r="D60" s="79" t="s">
        <v>172</v>
      </c>
      <c r="E60" s="79" t="s">
        <v>125</v>
      </c>
      <c r="F60" s="79" t="s">
        <v>173</v>
      </c>
      <c r="G60" s="82" t="s">
        <v>320</v>
      </c>
      <c r="H60" s="82" t="s">
        <v>281</v>
      </c>
      <c r="I60" s="82" t="s">
        <v>484</v>
      </c>
      <c r="J60" s="82" t="s">
        <v>937</v>
      </c>
      <c r="K60" s="82" t="s">
        <v>1103</v>
      </c>
    </row>
    <row r="61" spans="1:11" ht="15.75" x14ac:dyDescent="0.25">
      <c r="A61" s="87" t="s">
        <v>890</v>
      </c>
      <c r="B61" s="87" t="s">
        <v>1009</v>
      </c>
      <c r="C61" s="82" t="s">
        <v>590</v>
      </c>
      <c r="D61" s="79" t="s">
        <v>202</v>
      </c>
      <c r="E61" s="79" t="s">
        <v>114</v>
      </c>
      <c r="F61" s="79" t="s">
        <v>203</v>
      </c>
      <c r="G61" s="82" t="s">
        <v>320</v>
      </c>
      <c r="H61" s="82" t="s">
        <v>295</v>
      </c>
      <c r="I61" s="82" t="s">
        <v>499</v>
      </c>
      <c r="J61" s="82" t="s">
        <v>948</v>
      </c>
      <c r="K61" s="82" t="s">
        <v>1104</v>
      </c>
    </row>
    <row r="62" spans="1:11" ht="15.75" x14ac:dyDescent="0.25">
      <c r="A62" s="87" t="s">
        <v>890</v>
      </c>
      <c r="B62" s="87" t="s">
        <v>1009</v>
      </c>
      <c r="C62" s="82" t="s">
        <v>69</v>
      </c>
      <c r="D62" s="79" t="s">
        <v>124</v>
      </c>
      <c r="E62" s="79" t="s">
        <v>125</v>
      </c>
      <c r="F62" s="79" t="s">
        <v>126</v>
      </c>
      <c r="G62" s="82" t="s">
        <v>320</v>
      </c>
      <c r="H62" s="82" t="s">
        <v>261</v>
      </c>
      <c r="I62" s="82" t="s">
        <v>457</v>
      </c>
      <c r="J62" s="82" t="s">
        <v>917</v>
      </c>
      <c r="K62" s="82" t="s">
        <v>1105</v>
      </c>
    </row>
    <row r="63" spans="1:11" ht="15.75" x14ac:dyDescent="0.25">
      <c r="A63" s="87" t="s">
        <v>890</v>
      </c>
      <c r="B63" s="87" t="s">
        <v>1009</v>
      </c>
      <c r="C63" s="82" t="s">
        <v>64</v>
      </c>
      <c r="D63" s="79" t="s">
        <v>242</v>
      </c>
      <c r="E63" s="79" t="s">
        <v>125</v>
      </c>
      <c r="F63" s="79" t="s">
        <v>243</v>
      </c>
      <c r="G63" s="82" t="s">
        <v>320</v>
      </c>
      <c r="H63" s="82" t="s">
        <v>315</v>
      </c>
      <c r="I63" s="82" t="s">
        <v>523</v>
      </c>
      <c r="J63" s="82" t="s">
        <v>964</v>
      </c>
      <c r="K63" s="82" t="s">
        <v>1106</v>
      </c>
    </row>
    <row r="64" spans="1:11" ht="15.75" x14ac:dyDescent="0.25">
      <c r="A64" s="87" t="s">
        <v>890</v>
      </c>
      <c r="B64" s="87" t="s">
        <v>1009</v>
      </c>
      <c r="C64" s="82" t="s">
        <v>592</v>
      </c>
      <c r="D64" s="79" t="s">
        <v>206</v>
      </c>
      <c r="E64" s="79" t="s">
        <v>165</v>
      </c>
      <c r="F64" s="79" t="s">
        <v>207</v>
      </c>
      <c r="G64" s="82" t="s">
        <v>320</v>
      </c>
      <c r="H64" s="82" t="s">
        <v>297</v>
      </c>
      <c r="I64" s="82" t="s">
        <v>502</v>
      </c>
      <c r="J64" s="82" t="s">
        <v>950</v>
      </c>
      <c r="K64" s="82" t="s">
        <v>1107</v>
      </c>
    </row>
    <row r="65" spans="1:11" ht="15.75" x14ac:dyDescent="0.25">
      <c r="A65" s="87" t="s">
        <v>890</v>
      </c>
      <c r="B65" s="87" t="s">
        <v>1009</v>
      </c>
      <c r="C65" s="82" t="s">
        <v>41</v>
      </c>
      <c r="D65" s="79" t="s">
        <v>150</v>
      </c>
      <c r="E65" s="79" t="s">
        <v>114</v>
      </c>
      <c r="F65" s="79" t="s">
        <v>151</v>
      </c>
      <c r="G65" s="82" t="s">
        <v>320</v>
      </c>
      <c r="H65" s="82" t="s">
        <v>272</v>
      </c>
      <c r="I65" s="82" t="s">
        <v>470</v>
      </c>
      <c r="J65" s="82" t="s">
        <v>926</v>
      </c>
      <c r="K65" s="82" t="s">
        <v>1108</v>
      </c>
    </row>
    <row r="66" spans="1:11" ht="15.75" x14ac:dyDescent="0.25">
      <c r="A66" s="87" t="s">
        <v>890</v>
      </c>
      <c r="B66" s="87" t="s">
        <v>1009</v>
      </c>
      <c r="C66" s="82" t="s">
        <v>593</v>
      </c>
      <c r="D66" s="79" t="s">
        <v>180</v>
      </c>
      <c r="E66" s="79" t="s">
        <v>114</v>
      </c>
      <c r="F66" s="79" t="s">
        <v>181</v>
      </c>
      <c r="G66" s="82" t="s">
        <v>320</v>
      </c>
      <c r="H66" s="82" t="s">
        <v>285</v>
      </c>
      <c r="I66" s="82" t="s">
        <v>488</v>
      </c>
      <c r="J66" s="82" t="s">
        <v>941</v>
      </c>
      <c r="K66" s="82" t="s">
        <v>1109</v>
      </c>
    </row>
    <row r="67" spans="1:11" ht="15.75" x14ac:dyDescent="0.25">
      <c r="A67" s="87" t="s">
        <v>890</v>
      </c>
      <c r="B67" s="87" t="s">
        <v>1009</v>
      </c>
      <c r="C67" s="82" t="s">
        <v>946</v>
      </c>
      <c r="D67" s="79" t="s">
        <v>860</v>
      </c>
      <c r="E67" s="79" t="s">
        <v>144</v>
      </c>
      <c r="F67" s="79" t="s">
        <v>861</v>
      </c>
      <c r="G67" s="82" t="s">
        <v>320</v>
      </c>
      <c r="H67" s="82" t="s">
        <v>899</v>
      </c>
      <c r="I67" s="82" t="s">
        <v>900</v>
      </c>
      <c r="J67" s="82" t="s">
        <v>947</v>
      </c>
      <c r="K67" s="82" t="s">
        <v>1110</v>
      </c>
    </row>
    <row r="68" spans="1:11" ht="15.75" x14ac:dyDescent="0.25">
      <c r="A68" s="87" t="s">
        <v>890</v>
      </c>
      <c r="B68" s="87" t="s">
        <v>1009</v>
      </c>
      <c r="C68" s="82" t="s">
        <v>29</v>
      </c>
      <c r="D68" s="79" t="s">
        <v>230</v>
      </c>
      <c r="E68" s="79" t="s">
        <v>114</v>
      </c>
      <c r="F68" s="79" t="s">
        <v>231</v>
      </c>
      <c r="G68" s="82" t="s">
        <v>320</v>
      </c>
      <c r="H68" s="82" t="s">
        <v>309</v>
      </c>
      <c r="I68" s="82" t="s">
        <v>517</v>
      </c>
      <c r="J68" s="82" t="s">
        <v>961</v>
      </c>
      <c r="K68" s="82" t="s">
        <v>1111</v>
      </c>
    </row>
    <row r="69" spans="1:11" ht="15.75" x14ac:dyDescent="0.25">
      <c r="A69" s="87" t="s">
        <v>890</v>
      </c>
      <c r="B69" s="87" t="s">
        <v>1009</v>
      </c>
      <c r="C69" s="82" t="s">
        <v>595</v>
      </c>
      <c r="D69" s="79" t="s">
        <v>360</v>
      </c>
      <c r="E69" s="79" t="s">
        <v>165</v>
      </c>
      <c r="F69" s="79" t="s">
        <v>361</v>
      </c>
      <c r="G69" s="82" t="s">
        <v>320</v>
      </c>
      <c r="H69" s="82" t="s">
        <v>443</v>
      </c>
      <c r="I69" s="82" t="s">
        <v>477</v>
      </c>
      <c r="J69" s="82" t="s">
        <v>930</v>
      </c>
      <c r="K69" s="82" t="s">
        <v>1112</v>
      </c>
    </row>
    <row r="70" spans="1:11" ht="15.75" x14ac:dyDescent="0.25">
      <c r="A70" s="87" t="s">
        <v>890</v>
      </c>
      <c r="B70" s="87" t="s">
        <v>1009</v>
      </c>
      <c r="C70" s="82" t="s">
        <v>596</v>
      </c>
      <c r="D70" s="79" t="s">
        <v>212</v>
      </c>
      <c r="E70" s="79" t="s">
        <v>114</v>
      </c>
      <c r="F70" s="79" t="s">
        <v>213</v>
      </c>
      <c r="G70" s="82" t="s">
        <v>320</v>
      </c>
      <c r="H70" s="82" t="s">
        <v>300</v>
      </c>
      <c r="I70" s="82" t="s">
        <v>505</v>
      </c>
      <c r="J70" s="82" t="s">
        <v>952</v>
      </c>
      <c r="K70" s="82" t="s">
        <v>1113</v>
      </c>
    </row>
    <row r="71" spans="1:11" ht="15.75" x14ac:dyDescent="0.25">
      <c r="A71" s="87" t="s">
        <v>890</v>
      </c>
      <c r="B71" s="87" t="s">
        <v>1009</v>
      </c>
      <c r="C71" s="82" t="s">
        <v>597</v>
      </c>
      <c r="D71" s="79" t="s">
        <v>432</v>
      </c>
      <c r="E71" s="79" t="s">
        <v>165</v>
      </c>
      <c r="F71" s="79" t="s">
        <v>433</v>
      </c>
      <c r="G71" s="82" t="s">
        <v>320</v>
      </c>
      <c r="H71" s="82" t="s">
        <v>452</v>
      </c>
      <c r="I71" s="82" t="s">
        <v>524</v>
      </c>
      <c r="J71" s="82" t="s">
        <v>965</v>
      </c>
      <c r="K71" s="82" t="s">
        <v>1114</v>
      </c>
    </row>
    <row r="72" spans="1:11" ht="15.75" x14ac:dyDescent="0.25">
      <c r="A72" s="87" t="s">
        <v>890</v>
      </c>
      <c r="B72" s="87" t="s">
        <v>1009</v>
      </c>
      <c r="C72" s="82" t="s">
        <v>598</v>
      </c>
      <c r="D72" s="79" t="s">
        <v>336</v>
      </c>
      <c r="E72" s="79" t="s">
        <v>114</v>
      </c>
      <c r="F72" s="79" t="s">
        <v>337</v>
      </c>
      <c r="G72" s="82" t="s">
        <v>320</v>
      </c>
      <c r="H72" s="82" t="s">
        <v>439</v>
      </c>
      <c r="I72" s="82" t="s">
        <v>461</v>
      </c>
      <c r="J72" s="82" t="s">
        <v>920</v>
      </c>
      <c r="K72" s="82" t="s">
        <v>1115</v>
      </c>
    </row>
    <row r="73" spans="1:11" ht="15.75" x14ac:dyDescent="0.25">
      <c r="A73" s="87" t="s">
        <v>890</v>
      </c>
      <c r="B73" s="87" t="s">
        <v>1009</v>
      </c>
      <c r="C73" s="82" t="s">
        <v>76</v>
      </c>
      <c r="D73" s="79" t="s">
        <v>178</v>
      </c>
      <c r="E73" s="79" t="s">
        <v>125</v>
      </c>
      <c r="F73" s="79" t="s">
        <v>179</v>
      </c>
      <c r="G73" s="82" t="s">
        <v>320</v>
      </c>
      <c r="H73" s="82" t="s">
        <v>284</v>
      </c>
      <c r="I73" s="82" t="s">
        <v>487</v>
      </c>
      <c r="J73" s="82" t="s">
        <v>940</v>
      </c>
      <c r="K73" s="82" t="s">
        <v>1116</v>
      </c>
    </row>
    <row r="74" spans="1:11" ht="15.75" x14ac:dyDescent="0.25">
      <c r="A74" s="87" t="s">
        <v>890</v>
      </c>
      <c r="B74" s="87" t="s">
        <v>1009</v>
      </c>
      <c r="C74" s="82" t="s">
        <v>62</v>
      </c>
      <c r="D74" s="79" t="s">
        <v>143</v>
      </c>
      <c r="E74" s="79" t="s">
        <v>144</v>
      </c>
      <c r="F74" s="79" t="s">
        <v>145</v>
      </c>
      <c r="G74" s="82" t="s">
        <v>320</v>
      </c>
      <c r="H74" s="82" t="s">
        <v>269</v>
      </c>
      <c r="I74" s="82" t="s">
        <v>467</v>
      </c>
      <c r="J74" s="82" t="s">
        <v>923</v>
      </c>
      <c r="K74" s="82" t="s">
        <v>1117</v>
      </c>
    </row>
    <row r="75" spans="1:11" ht="15.75" x14ac:dyDescent="0.25">
      <c r="A75" s="87" t="s">
        <v>890</v>
      </c>
      <c r="B75" s="87" t="s">
        <v>1009</v>
      </c>
      <c r="C75" s="82" t="s">
        <v>956</v>
      </c>
      <c r="D75" s="79" t="s">
        <v>866</v>
      </c>
      <c r="E75" s="79" t="s">
        <v>125</v>
      </c>
      <c r="F75" s="79" t="s">
        <v>217</v>
      </c>
      <c r="G75" s="82" t="s">
        <v>320</v>
      </c>
      <c r="H75" s="82" t="s">
        <v>302</v>
      </c>
      <c r="I75" s="82" t="s">
        <v>903</v>
      </c>
      <c r="J75" s="82" t="s">
        <v>957</v>
      </c>
      <c r="K75" s="82" t="s">
        <v>1118</v>
      </c>
    </row>
    <row r="76" spans="1:11" ht="15.75" x14ac:dyDescent="0.25">
      <c r="A76" s="87" t="s">
        <v>890</v>
      </c>
      <c r="B76" s="87" t="s">
        <v>1009</v>
      </c>
      <c r="C76" s="82" t="s">
        <v>601</v>
      </c>
      <c r="D76" s="79" t="s">
        <v>162</v>
      </c>
      <c r="E76" s="79" t="s">
        <v>114</v>
      </c>
      <c r="F76" s="79" t="s">
        <v>163</v>
      </c>
      <c r="G76" s="82" t="s">
        <v>320</v>
      </c>
      <c r="H76" s="82" t="s">
        <v>277</v>
      </c>
      <c r="I76" s="82" t="s">
        <v>478</v>
      </c>
      <c r="J76" s="82" t="s">
        <v>931</v>
      </c>
      <c r="K76" s="82" t="s">
        <v>1119</v>
      </c>
    </row>
    <row r="77" spans="1:11" ht="15.75" x14ac:dyDescent="0.25">
      <c r="A77" s="87" t="s">
        <v>890</v>
      </c>
      <c r="B77" s="87" t="s">
        <v>1009</v>
      </c>
      <c r="C77" s="82" t="s">
        <v>602</v>
      </c>
      <c r="D77" s="79" t="s">
        <v>176</v>
      </c>
      <c r="E77" s="79" t="s">
        <v>114</v>
      </c>
      <c r="F77" s="79" t="s">
        <v>177</v>
      </c>
      <c r="G77" s="82" t="s">
        <v>320</v>
      </c>
      <c r="H77" s="82" t="s">
        <v>283</v>
      </c>
      <c r="I77" s="82" t="s">
        <v>486</v>
      </c>
      <c r="J77" s="82" t="s">
        <v>939</v>
      </c>
      <c r="K77" s="82" t="s">
        <v>1120</v>
      </c>
    </row>
    <row r="78" spans="1:11" ht="15.75" x14ac:dyDescent="0.25">
      <c r="A78" s="87" t="s">
        <v>890</v>
      </c>
      <c r="B78" s="87" t="s">
        <v>1009</v>
      </c>
      <c r="C78" s="82" t="s">
        <v>38</v>
      </c>
      <c r="D78" s="79" t="s">
        <v>113</v>
      </c>
      <c r="E78" s="79" t="s">
        <v>114</v>
      </c>
      <c r="F78" s="79" t="s">
        <v>116</v>
      </c>
      <c r="G78" s="82" t="s">
        <v>320</v>
      </c>
      <c r="H78" s="82" t="s">
        <v>257</v>
      </c>
      <c r="I78" s="82" t="s">
        <v>453</v>
      </c>
      <c r="J78" s="82" t="s">
        <v>912</v>
      </c>
      <c r="K78" s="82" t="s">
        <v>1121</v>
      </c>
    </row>
    <row r="79" spans="1:11" ht="15.75" x14ac:dyDescent="0.25">
      <c r="A79" s="87" t="s">
        <v>890</v>
      </c>
      <c r="B79" s="87" t="s">
        <v>1009</v>
      </c>
      <c r="C79" s="82" t="s">
        <v>604</v>
      </c>
      <c r="D79" s="79" t="s">
        <v>148</v>
      </c>
      <c r="E79" s="79" t="s">
        <v>144</v>
      </c>
      <c r="F79" s="79" t="s">
        <v>149</v>
      </c>
      <c r="G79" s="82" t="s">
        <v>320</v>
      </c>
      <c r="H79" s="82" t="s">
        <v>271</v>
      </c>
      <c r="I79" s="82" t="s">
        <v>469</v>
      </c>
      <c r="J79" s="82" t="s">
        <v>925</v>
      </c>
      <c r="K79" s="82" t="s">
        <v>1122</v>
      </c>
    </row>
    <row r="80" spans="1:11" ht="15.75" x14ac:dyDescent="0.25">
      <c r="A80" s="87" t="s">
        <v>890</v>
      </c>
      <c r="B80" s="87" t="s">
        <v>1009</v>
      </c>
      <c r="C80" s="82" t="s">
        <v>605</v>
      </c>
      <c r="D80" s="79" t="s">
        <v>132</v>
      </c>
      <c r="E80" s="79" t="s">
        <v>114</v>
      </c>
      <c r="F80" s="79" t="s">
        <v>133</v>
      </c>
      <c r="G80" s="82" t="s">
        <v>320</v>
      </c>
      <c r="H80" s="82" t="s">
        <v>264</v>
      </c>
      <c r="I80" s="82" t="s">
        <v>460</v>
      </c>
      <c r="J80" s="82" t="s">
        <v>919</v>
      </c>
      <c r="K80" s="82" t="s">
        <v>1123</v>
      </c>
    </row>
    <row r="81" spans="1:11" ht="15.75" x14ac:dyDescent="0.25">
      <c r="A81" s="85"/>
      <c r="B81" s="85"/>
      <c r="C81" s="85"/>
      <c r="D81" s="85"/>
      <c r="E81" s="85"/>
      <c r="F81" s="85"/>
      <c r="G81" s="85"/>
      <c r="H81" s="85"/>
      <c r="I81" s="85"/>
      <c r="J81" s="85"/>
      <c r="K81" s="85"/>
    </row>
    <row r="82" spans="1:11" ht="15.75" x14ac:dyDescent="0.25">
      <c r="A82" s="85"/>
      <c r="B82" s="85"/>
      <c r="C82" s="85"/>
      <c r="D82" s="91" t="s">
        <v>632</v>
      </c>
      <c r="E82" s="92" t="s">
        <v>1008</v>
      </c>
      <c r="F82" s="93" t="s">
        <v>1009</v>
      </c>
      <c r="G82" s="94" t="s">
        <v>884</v>
      </c>
      <c r="H82" s="95" t="s">
        <v>1010</v>
      </c>
      <c r="I82" s="96" t="s">
        <v>635</v>
      </c>
      <c r="J82" s="97" t="s">
        <v>634</v>
      </c>
      <c r="K82" s="85"/>
    </row>
    <row r="83" spans="1:11" ht="15.75" x14ac:dyDescent="0.25">
      <c r="A83" s="85"/>
      <c r="B83" s="149"/>
      <c r="C83" s="127" t="s">
        <v>1034</v>
      </c>
      <c r="D83" s="91" t="e">
        <f>COUNTIF(#REF!,"TT")</f>
        <v>#REF!</v>
      </c>
      <c r="E83" s="92" t="e">
        <f>COUNTIF(#REF!,E82)</f>
        <v>#REF!</v>
      </c>
      <c r="F83" s="93" t="e">
        <f>COUNTIF(#REF!,F82)</f>
        <v>#REF!</v>
      </c>
      <c r="G83" s="94" t="e">
        <f>COUNTIF(#REF!,G82)</f>
        <v>#REF!</v>
      </c>
      <c r="H83" s="95" t="e">
        <f>COUNTIF(#REF!,H82)</f>
        <v>#REF!</v>
      </c>
      <c r="I83" s="96" t="e">
        <f>SUM(E83:H83)</f>
        <v>#REF!</v>
      </c>
      <c r="J83" s="150">
        <f>COUNTIF(D92,"")</f>
        <v>1</v>
      </c>
      <c r="K83" s="151"/>
    </row>
    <row r="84" spans="1:11" ht="15" x14ac:dyDescent="0.25">
      <c r="A84" s="101"/>
      <c r="B84" s="149"/>
      <c r="C84" s="102" t="s">
        <v>631</v>
      </c>
      <c r="D84" s="102" t="s">
        <v>529</v>
      </c>
      <c r="E84" s="103" t="s">
        <v>107</v>
      </c>
      <c r="F84" s="121" t="s">
        <v>804</v>
      </c>
      <c r="G84" s="122"/>
      <c r="H84" s="122"/>
      <c r="I84" s="122"/>
      <c r="J84" s="123"/>
      <c r="K84" s="151"/>
    </row>
    <row r="85" spans="1:11" ht="15" x14ac:dyDescent="0.25">
      <c r="A85" s="151"/>
      <c r="B85" s="149"/>
      <c r="C85" s="152">
        <v>1</v>
      </c>
      <c r="D85" s="104"/>
      <c r="E85" s="153"/>
      <c r="F85" s="154"/>
      <c r="G85" s="155"/>
      <c r="H85" s="155"/>
      <c r="I85" s="155"/>
      <c r="J85" s="156"/>
      <c r="K85" s="151"/>
    </row>
    <row r="86" spans="1:11" ht="15" x14ac:dyDescent="0.25">
      <c r="A86" s="151"/>
      <c r="B86" s="149"/>
      <c r="C86" s="152">
        <v>2</v>
      </c>
      <c r="D86" s="104"/>
      <c r="E86" s="153"/>
      <c r="F86" s="154"/>
      <c r="G86" s="155"/>
      <c r="H86" s="155"/>
      <c r="I86" s="155"/>
      <c r="J86" s="156"/>
      <c r="K86" s="151"/>
    </row>
    <row r="87" spans="1:11" ht="15" x14ac:dyDescent="0.25">
      <c r="A87" s="151"/>
      <c r="B87" s="149"/>
      <c r="C87" s="152">
        <v>3</v>
      </c>
      <c r="D87" s="104"/>
      <c r="E87" s="153"/>
      <c r="F87" s="154"/>
      <c r="G87" s="155"/>
      <c r="H87" s="155"/>
      <c r="I87" s="155"/>
      <c r="J87" s="156"/>
      <c r="K87" s="151"/>
    </row>
    <row r="88" spans="1:11" ht="15" x14ac:dyDescent="0.25">
      <c r="A88" s="151"/>
      <c r="B88" s="149"/>
      <c r="C88" s="152">
        <v>4</v>
      </c>
      <c r="D88" s="104"/>
      <c r="E88" s="153"/>
      <c r="F88" s="154"/>
      <c r="G88" s="155"/>
      <c r="H88" s="155"/>
      <c r="I88" s="155"/>
      <c r="J88" s="156"/>
      <c r="K88" s="151"/>
    </row>
    <row r="89" spans="1:11" ht="15" x14ac:dyDescent="0.25">
      <c r="A89" s="151"/>
      <c r="B89" s="149"/>
      <c r="C89" s="152">
        <v>5</v>
      </c>
      <c r="D89" s="104"/>
      <c r="E89" s="153"/>
      <c r="F89" s="154"/>
      <c r="G89" s="155"/>
      <c r="H89" s="155"/>
      <c r="I89" s="155"/>
      <c r="J89" s="156"/>
      <c r="K89" s="151"/>
    </row>
    <row r="90" spans="1:11" ht="15" x14ac:dyDescent="0.25">
      <c r="A90" s="151"/>
      <c r="B90" s="149"/>
      <c r="C90" s="152">
        <v>6</v>
      </c>
      <c r="D90" s="104"/>
      <c r="E90" s="153"/>
      <c r="F90" s="154"/>
      <c r="G90" s="155"/>
      <c r="H90" s="155"/>
      <c r="I90" s="155"/>
      <c r="J90" s="156"/>
      <c r="K90" s="151"/>
    </row>
    <row r="91" spans="1:11" ht="15" x14ac:dyDescent="0.25">
      <c r="A91" s="151"/>
      <c r="B91" s="149"/>
      <c r="C91" s="152">
        <v>7</v>
      </c>
      <c r="D91" s="104"/>
      <c r="E91" s="153"/>
      <c r="F91" s="154"/>
      <c r="G91" s="155"/>
      <c r="H91" s="155"/>
      <c r="I91" s="155"/>
      <c r="J91" s="156"/>
      <c r="K91" s="151"/>
    </row>
    <row r="92" spans="1:11" ht="15" x14ac:dyDescent="0.25">
      <c r="A92" s="151"/>
      <c r="B92" s="149"/>
      <c r="C92" s="152">
        <v>8</v>
      </c>
      <c r="D92" s="104"/>
      <c r="E92" s="153"/>
      <c r="F92" s="154"/>
      <c r="G92" s="155"/>
      <c r="H92" s="155"/>
      <c r="I92" s="155"/>
      <c r="J92" s="156"/>
      <c r="K92" s="151"/>
    </row>
    <row r="93" spans="1:11" ht="15" x14ac:dyDescent="0.25">
      <c r="A93" s="157"/>
      <c r="B93" s="158"/>
      <c r="C93" s="157"/>
      <c r="D93" s="159"/>
      <c r="E93" s="159"/>
      <c r="F93" s="157"/>
      <c r="G93" s="157"/>
      <c r="H93" s="157"/>
      <c r="I93" s="157"/>
      <c r="J93" s="157"/>
      <c r="K93" s="157"/>
    </row>
    <row r="94" spans="1:11" ht="15.75" x14ac:dyDescent="0.2">
      <c r="A94" s="100" t="s">
        <v>887</v>
      </c>
      <c r="B94" s="100" t="s">
        <v>1012</v>
      </c>
      <c r="C94" s="100" t="s">
        <v>108</v>
      </c>
      <c r="D94" s="100" t="s">
        <v>802</v>
      </c>
      <c r="E94" s="100" t="s">
        <v>109</v>
      </c>
      <c r="F94" s="100" t="s">
        <v>112</v>
      </c>
      <c r="G94" s="100" t="s">
        <v>111</v>
      </c>
      <c r="H94" s="100" t="s">
        <v>255</v>
      </c>
      <c r="I94" s="100" t="s">
        <v>256</v>
      </c>
      <c r="J94" s="100" t="s">
        <v>254</v>
      </c>
      <c r="K94" s="100" t="s">
        <v>803</v>
      </c>
    </row>
    <row r="95" spans="1:11" ht="15.75" x14ac:dyDescent="0.25">
      <c r="A95" s="87" t="s">
        <v>890</v>
      </c>
      <c r="B95" s="87" t="s">
        <v>1009</v>
      </c>
      <c r="C95" s="83" t="s">
        <v>967</v>
      </c>
      <c r="D95" s="81" t="s">
        <v>874</v>
      </c>
      <c r="E95" s="81" t="s">
        <v>141</v>
      </c>
      <c r="F95" s="81" t="s">
        <v>229</v>
      </c>
      <c r="G95" s="83" t="s">
        <v>253</v>
      </c>
      <c r="H95" s="83" t="s">
        <v>908</v>
      </c>
      <c r="I95" s="83" t="s">
        <v>909</v>
      </c>
      <c r="J95" s="83" t="s">
        <v>982</v>
      </c>
      <c r="K95" s="83" t="s">
        <v>1124</v>
      </c>
    </row>
    <row r="96" spans="1:11" ht="15.75" x14ac:dyDescent="0.25">
      <c r="A96" s="87" t="s">
        <v>890</v>
      </c>
      <c r="B96" s="87" t="s">
        <v>1009</v>
      </c>
      <c r="C96" s="83" t="s">
        <v>554</v>
      </c>
      <c r="D96" s="81" t="s">
        <v>210</v>
      </c>
      <c r="E96" s="81" t="s">
        <v>141</v>
      </c>
      <c r="F96" s="81" t="s">
        <v>211</v>
      </c>
      <c r="G96" s="83" t="s">
        <v>253</v>
      </c>
      <c r="H96" s="83" t="s">
        <v>299</v>
      </c>
      <c r="I96" s="83" t="s">
        <v>504</v>
      </c>
      <c r="J96" s="83" t="s">
        <v>977</v>
      </c>
      <c r="K96" s="83" t="s">
        <v>1125</v>
      </c>
    </row>
    <row r="97" spans="1:11" ht="15.75" x14ac:dyDescent="0.25">
      <c r="A97" s="87" t="s">
        <v>890</v>
      </c>
      <c r="B97" s="87" t="s">
        <v>1009</v>
      </c>
      <c r="C97" s="83" t="s">
        <v>562</v>
      </c>
      <c r="D97" s="81" t="s">
        <v>196</v>
      </c>
      <c r="E97" s="81" t="s">
        <v>141</v>
      </c>
      <c r="F97" s="81" t="s">
        <v>197</v>
      </c>
      <c r="G97" s="83" t="s">
        <v>253</v>
      </c>
      <c r="H97" s="83" t="s">
        <v>292</v>
      </c>
      <c r="I97" s="83" t="s">
        <v>495</v>
      </c>
      <c r="J97" s="83" t="s">
        <v>973</v>
      </c>
      <c r="K97" s="83" t="s">
        <v>1126</v>
      </c>
    </row>
    <row r="98" spans="1:11" ht="15.75" x14ac:dyDescent="0.25">
      <c r="A98" s="87" t="s">
        <v>890</v>
      </c>
      <c r="B98" s="87" t="s">
        <v>1009</v>
      </c>
      <c r="C98" s="83" t="s">
        <v>565</v>
      </c>
      <c r="D98" s="81" t="s">
        <v>350</v>
      </c>
      <c r="E98" s="81" t="s">
        <v>141</v>
      </c>
      <c r="F98" s="81" t="s">
        <v>351</v>
      </c>
      <c r="G98" s="83" t="s">
        <v>253</v>
      </c>
      <c r="H98" s="83" t="s">
        <v>441</v>
      </c>
      <c r="I98" s="83" t="s">
        <v>471</v>
      </c>
      <c r="J98" s="83" t="s">
        <v>970</v>
      </c>
      <c r="K98" s="83" t="s">
        <v>1127</v>
      </c>
    </row>
    <row r="99" spans="1:11" ht="15.75" x14ac:dyDescent="0.25">
      <c r="A99" s="87" t="s">
        <v>890</v>
      </c>
      <c r="B99" s="87" t="s">
        <v>1009</v>
      </c>
      <c r="C99" s="83" t="s">
        <v>83</v>
      </c>
      <c r="D99" s="81" t="s">
        <v>248</v>
      </c>
      <c r="E99" s="81" t="s">
        <v>141</v>
      </c>
      <c r="F99" s="81" t="s">
        <v>249</v>
      </c>
      <c r="G99" s="83" t="s">
        <v>253</v>
      </c>
      <c r="H99" s="83" t="s">
        <v>318</v>
      </c>
      <c r="I99" s="83" t="s">
        <v>527</v>
      </c>
      <c r="J99" s="83" t="s">
        <v>983</v>
      </c>
      <c r="K99" s="83" t="s">
        <v>1128</v>
      </c>
    </row>
    <row r="100" spans="1:11" ht="15.75" x14ac:dyDescent="0.25">
      <c r="A100" s="87" t="s">
        <v>890</v>
      </c>
      <c r="B100" s="87" t="s">
        <v>1009</v>
      </c>
      <c r="C100" s="83" t="s">
        <v>578</v>
      </c>
      <c r="D100" s="81" t="s">
        <v>236</v>
      </c>
      <c r="E100" s="81" t="s">
        <v>141</v>
      </c>
      <c r="F100" s="81" t="s">
        <v>237</v>
      </c>
      <c r="G100" s="83" t="s">
        <v>253</v>
      </c>
      <c r="H100" s="83" t="s">
        <v>312</v>
      </c>
      <c r="I100" s="83" t="s">
        <v>520</v>
      </c>
      <c r="J100" s="83" t="s">
        <v>981</v>
      </c>
      <c r="K100" s="83" t="s">
        <v>1129</v>
      </c>
    </row>
    <row r="101" spans="1:11" ht="15.75" x14ac:dyDescent="0.25">
      <c r="A101" s="87" t="s">
        <v>890</v>
      </c>
      <c r="B101" s="87" t="s">
        <v>1009</v>
      </c>
      <c r="C101" s="83" t="s">
        <v>963</v>
      </c>
      <c r="D101" s="81" t="s">
        <v>870</v>
      </c>
      <c r="E101" s="81" t="s">
        <v>141</v>
      </c>
      <c r="F101" s="81" t="s">
        <v>871</v>
      </c>
      <c r="G101" s="83" t="s">
        <v>253</v>
      </c>
      <c r="H101" s="83" t="s">
        <v>906</v>
      </c>
      <c r="I101" s="83" t="s">
        <v>907</v>
      </c>
      <c r="J101" s="83" t="s">
        <v>980</v>
      </c>
      <c r="K101" s="83" t="s">
        <v>1130</v>
      </c>
    </row>
    <row r="102" spans="1:11" ht="15.75" x14ac:dyDescent="0.25">
      <c r="A102" s="87" t="s">
        <v>890</v>
      </c>
      <c r="B102" s="87" t="s">
        <v>1009</v>
      </c>
      <c r="C102" s="83" t="s">
        <v>77</v>
      </c>
      <c r="D102" s="81" t="s">
        <v>204</v>
      </c>
      <c r="E102" s="81" t="s">
        <v>141</v>
      </c>
      <c r="F102" s="81" t="s">
        <v>205</v>
      </c>
      <c r="G102" s="83" t="s">
        <v>253</v>
      </c>
      <c r="H102" s="83" t="s">
        <v>296</v>
      </c>
      <c r="I102" s="83" t="s">
        <v>501</v>
      </c>
      <c r="J102" s="83" t="s">
        <v>976</v>
      </c>
      <c r="K102" s="83" t="s">
        <v>1131</v>
      </c>
    </row>
    <row r="103" spans="1:11" ht="15.75" x14ac:dyDescent="0.25">
      <c r="A103" s="87" t="s">
        <v>890</v>
      </c>
      <c r="B103" s="87" t="s">
        <v>1009</v>
      </c>
      <c r="C103" s="83" t="s">
        <v>92</v>
      </c>
      <c r="D103" s="81" t="s">
        <v>200</v>
      </c>
      <c r="E103" s="81" t="s">
        <v>141</v>
      </c>
      <c r="F103" s="81" t="s">
        <v>201</v>
      </c>
      <c r="G103" s="83" t="s">
        <v>253</v>
      </c>
      <c r="H103" s="83" t="s">
        <v>294</v>
      </c>
      <c r="I103" s="83" t="s">
        <v>497</v>
      </c>
      <c r="J103" s="83" t="s">
        <v>975</v>
      </c>
      <c r="K103" s="83" t="s">
        <v>1132</v>
      </c>
    </row>
    <row r="104" spans="1:11" ht="15.75" x14ac:dyDescent="0.25">
      <c r="A104" s="87" t="s">
        <v>890</v>
      </c>
      <c r="B104" s="87" t="s">
        <v>1009</v>
      </c>
      <c r="C104" s="83" t="s">
        <v>591</v>
      </c>
      <c r="D104" s="81" t="s">
        <v>140</v>
      </c>
      <c r="E104" s="81" t="s">
        <v>141</v>
      </c>
      <c r="F104" s="81" t="s">
        <v>142</v>
      </c>
      <c r="G104" s="83" t="s">
        <v>253</v>
      </c>
      <c r="H104" s="83" t="s">
        <v>268</v>
      </c>
      <c r="I104" s="83" t="s">
        <v>465</v>
      </c>
      <c r="J104" s="83" t="s">
        <v>969</v>
      </c>
      <c r="K104" s="83" t="s">
        <v>1133</v>
      </c>
    </row>
    <row r="105" spans="1:11" ht="15.75" x14ac:dyDescent="0.25">
      <c r="A105" s="87" t="s">
        <v>890</v>
      </c>
      <c r="B105" s="87" t="s">
        <v>1009</v>
      </c>
      <c r="C105" s="83" t="s">
        <v>599</v>
      </c>
      <c r="D105" s="81" t="s">
        <v>218</v>
      </c>
      <c r="E105" s="81" t="s">
        <v>141</v>
      </c>
      <c r="F105" s="81" t="s">
        <v>219</v>
      </c>
      <c r="G105" s="83" t="s">
        <v>253</v>
      </c>
      <c r="H105" s="83" t="s">
        <v>303</v>
      </c>
      <c r="I105" s="83" t="s">
        <v>509</v>
      </c>
      <c r="J105" s="83" t="s">
        <v>978</v>
      </c>
      <c r="K105" s="83" t="s">
        <v>1134</v>
      </c>
    </row>
    <row r="106" spans="1:11" ht="15.75" x14ac:dyDescent="0.25">
      <c r="A106" s="87" t="s">
        <v>890</v>
      </c>
      <c r="B106" s="87" t="s">
        <v>1009</v>
      </c>
      <c r="C106" s="83" t="s">
        <v>603</v>
      </c>
      <c r="D106" s="81" t="s">
        <v>386</v>
      </c>
      <c r="E106" s="81" t="s">
        <v>141</v>
      </c>
      <c r="F106" s="81" t="s">
        <v>388</v>
      </c>
      <c r="G106" s="83" t="s">
        <v>253</v>
      </c>
      <c r="H106" s="83" t="s">
        <v>446</v>
      </c>
      <c r="I106" s="83" t="s">
        <v>453</v>
      </c>
      <c r="J106" s="83" t="s">
        <v>974</v>
      </c>
      <c r="K106" s="83" t="s">
        <v>1135</v>
      </c>
    </row>
    <row r="107" spans="1:11" ht="15.75" x14ac:dyDescent="0.25">
      <c r="A107" s="87" t="s">
        <v>890</v>
      </c>
      <c r="B107" s="87" t="s">
        <v>1009</v>
      </c>
      <c r="C107" s="83" t="s">
        <v>606</v>
      </c>
      <c r="D107" s="81" t="s">
        <v>414</v>
      </c>
      <c r="E107" s="81" t="s">
        <v>141</v>
      </c>
      <c r="F107" s="81" t="s">
        <v>415</v>
      </c>
      <c r="G107" s="83" t="s">
        <v>253</v>
      </c>
      <c r="H107" s="83" t="s">
        <v>450</v>
      </c>
      <c r="I107" s="83" t="s">
        <v>512</v>
      </c>
      <c r="J107" s="83" t="s">
        <v>979</v>
      </c>
      <c r="K107" s="83" t="s">
        <v>1136</v>
      </c>
    </row>
    <row r="108" spans="1:11" ht="15.75" x14ac:dyDescent="0.25">
      <c r="A108" s="87" t="s">
        <v>890</v>
      </c>
      <c r="B108" s="87" t="s">
        <v>1009</v>
      </c>
      <c r="C108" s="83" t="s">
        <v>934</v>
      </c>
      <c r="D108" s="81" t="s">
        <v>854</v>
      </c>
      <c r="E108" s="81" t="s">
        <v>141</v>
      </c>
      <c r="F108" s="81" t="s">
        <v>855</v>
      </c>
      <c r="G108" s="83" t="s">
        <v>253</v>
      </c>
      <c r="H108" s="83" t="s">
        <v>897</v>
      </c>
      <c r="I108" s="83" t="s">
        <v>898</v>
      </c>
      <c r="J108" s="83" t="s">
        <v>971</v>
      </c>
      <c r="K108" s="83" t="s">
        <v>1137</v>
      </c>
    </row>
    <row r="109" spans="1:11" ht="15.75" x14ac:dyDescent="0.25">
      <c r="A109" s="87" t="s">
        <v>890</v>
      </c>
      <c r="B109" s="87" t="s">
        <v>1009</v>
      </c>
      <c r="C109" s="83" t="s">
        <v>968</v>
      </c>
      <c r="D109" s="81" t="s">
        <v>875</v>
      </c>
      <c r="E109" s="81" t="s">
        <v>141</v>
      </c>
      <c r="F109" s="81" t="s">
        <v>876</v>
      </c>
      <c r="G109" s="83" t="s">
        <v>253</v>
      </c>
      <c r="H109" s="83" t="s">
        <v>910</v>
      </c>
      <c r="I109" s="83" t="s">
        <v>911</v>
      </c>
      <c r="J109" s="83" t="s">
        <v>984</v>
      </c>
      <c r="K109" s="83" t="s">
        <v>1138</v>
      </c>
    </row>
    <row r="110" spans="1:11" ht="15.75" x14ac:dyDescent="0.25">
      <c r="A110" s="87" t="s">
        <v>890</v>
      </c>
      <c r="B110" s="87" t="s">
        <v>1009</v>
      </c>
      <c r="C110" s="83" t="s">
        <v>44</v>
      </c>
      <c r="D110" s="81" t="s">
        <v>859</v>
      </c>
      <c r="E110" s="81" t="s">
        <v>141</v>
      </c>
      <c r="F110" s="81" t="s">
        <v>188</v>
      </c>
      <c r="G110" s="83" t="s">
        <v>253</v>
      </c>
      <c r="H110" s="83" t="s">
        <v>288</v>
      </c>
      <c r="I110" s="83" t="s">
        <v>491</v>
      </c>
      <c r="J110" s="83" t="s">
        <v>972</v>
      </c>
      <c r="K110" s="83" t="s">
        <v>1139</v>
      </c>
    </row>
    <row r="111" spans="1:11" ht="15.75" x14ac:dyDescent="0.25">
      <c r="A111" s="85"/>
      <c r="B111" s="85"/>
      <c r="C111" s="85"/>
      <c r="D111" s="85"/>
      <c r="E111" s="85"/>
      <c r="F111" s="85"/>
      <c r="G111" s="85"/>
      <c r="H111" s="85"/>
      <c r="I111" s="85"/>
      <c r="J111" s="85"/>
      <c r="K111" s="85"/>
    </row>
    <row r="112" spans="1:11" ht="15.75" x14ac:dyDescent="0.25">
      <c r="A112" s="85"/>
      <c r="B112" s="85"/>
      <c r="C112" s="85"/>
      <c r="D112" s="160" t="s">
        <v>633</v>
      </c>
      <c r="E112" s="92" t="s">
        <v>1008</v>
      </c>
      <c r="F112" s="93" t="s">
        <v>1009</v>
      </c>
      <c r="G112" s="94" t="s">
        <v>884</v>
      </c>
      <c r="H112" s="95" t="s">
        <v>1010</v>
      </c>
      <c r="I112" s="96" t="s">
        <v>635</v>
      </c>
      <c r="J112" s="97" t="s">
        <v>634</v>
      </c>
      <c r="K112" s="85"/>
    </row>
    <row r="113" spans="1:11" ht="15.75" x14ac:dyDescent="0.25">
      <c r="A113" s="85"/>
      <c r="B113" s="149"/>
      <c r="C113" s="127" t="s">
        <v>1035</v>
      </c>
      <c r="D113" s="91" t="e">
        <f>COUNTIF(#REF!,"TT")</f>
        <v>#REF!</v>
      </c>
      <c r="E113" s="92" t="e">
        <f>COUNTIF(#REF!,E112)</f>
        <v>#REF!</v>
      </c>
      <c r="F113" s="93" t="e">
        <f>COUNTIF(#REF!,F112)</f>
        <v>#REF!</v>
      </c>
      <c r="G113" s="94" t="e">
        <f>COUNTIF(#REF!,G112)</f>
        <v>#REF!</v>
      </c>
      <c r="H113" s="95" t="e">
        <f>COUNTIF(#REF!,H112)</f>
        <v>#REF!</v>
      </c>
      <c r="I113" s="96" t="e">
        <f>SUM(E113:H113)</f>
        <v>#REF!</v>
      </c>
      <c r="J113" s="150">
        <f>COUNTIF(D122,"")</f>
        <v>1</v>
      </c>
      <c r="K113" s="151"/>
    </row>
    <row r="114" spans="1:11" ht="15" x14ac:dyDescent="0.25">
      <c r="A114" s="101"/>
      <c r="B114" s="149"/>
      <c r="C114" s="102" t="s">
        <v>631</v>
      </c>
      <c r="D114" s="102" t="s">
        <v>529</v>
      </c>
      <c r="E114" s="103" t="s">
        <v>107</v>
      </c>
      <c r="F114" s="121" t="s">
        <v>804</v>
      </c>
      <c r="G114" s="122"/>
      <c r="H114" s="122"/>
      <c r="I114" s="122"/>
      <c r="J114" s="123"/>
      <c r="K114" s="151"/>
    </row>
    <row r="115" spans="1:11" ht="15" x14ac:dyDescent="0.25">
      <c r="A115" s="151"/>
      <c r="B115" s="149"/>
      <c r="C115" s="152">
        <v>1</v>
      </c>
      <c r="D115" s="104"/>
      <c r="E115" s="153"/>
      <c r="F115" s="154"/>
      <c r="G115" s="155"/>
      <c r="H115" s="155"/>
      <c r="I115" s="155"/>
      <c r="J115" s="156"/>
      <c r="K115" s="151"/>
    </row>
    <row r="116" spans="1:11" ht="15" x14ac:dyDescent="0.25">
      <c r="A116" s="151"/>
      <c r="B116" s="149"/>
      <c r="C116" s="152">
        <v>2</v>
      </c>
      <c r="D116" s="104"/>
      <c r="E116" s="153"/>
      <c r="F116" s="154"/>
      <c r="G116" s="155"/>
      <c r="H116" s="155"/>
      <c r="I116" s="155"/>
      <c r="J116" s="156"/>
      <c r="K116" s="151"/>
    </row>
    <row r="117" spans="1:11" ht="15" x14ac:dyDescent="0.25">
      <c r="A117" s="151"/>
      <c r="B117" s="149"/>
      <c r="C117" s="152">
        <v>3</v>
      </c>
      <c r="D117" s="104"/>
      <c r="E117" s="153"/>
      <c r="F117" s="154"/>
      <c r="G117" s="155"/>
      <c r="H117" s="155"/>
      <c r="I117" s="155"/>
      <c r="J117" s="156"/>
      <c r="K117" s="151"/>
    </row>
    <row r="118" spans="1:11" ht="15" x14ac:dyDescent="0.25">
      <c r="A118" s="151"/>
      <c r="B118" s="149"/>
      <c r="C118" s="152">
        <v>4</v>
      </c>
      <c r="D118" s="104"/>
      <c r="E118" s="153"/>
      <c r="F118" s="154"/>
      <c r="G118" s="155"/>
      <c r="H118" s="155"/>
      <c r="I118" s="155"/>
      <c r="J118" s="156"/>
      <c r="K118" s="151"/>
    </row>
    <row r="119" spans="1:11" ht="15" x14ac:dyDescent="0.25">
      <c r="A119" s="151"/>
      <c r="B119" s="149"/>
      <c r="C119" s="152">
        <v>5</v>
      </c>
      <c r="D119" s="104"/>
      <c r="E119" s="153"/>
      <c r="F119" s="154"/>
      <c r="G119" s="155"/>
      <c r="H119" s="155"/>
      <c r="I119" s="155"/>
      <c r="J119" s="156"/>
      <c r="K119" s="151"/>
    </row>
    <row r="120" spans="1:11" ht="15" x14ac:dyDescent="0.25">
      <c r="A120" s="151"/>
      <c r="B120" s="149"/>
      <c r="C120" s="152">
        <v>6</v>
      </c>
      <c r="D120" s="104"/>
      <c r="E120" s="153"/>
      <c r="F120" s="154"/>
      <c r="G120" s="155"/>
      <c r="H120" s="155"/>
      <c r="I120" s="155"/>
      <c r="J120" s="156"/>
      <c r="K120" s="151"/>
    </row>
    <row r="121" spans="1:11" ht="15" x14ac:dyDescent="0.25">
      <c r="A121" s="151"/>
      <c r="B121" s="149"/>
      <c r="C121" s="152">
        <v>7</v>
      </c>
      <c r="D121" s="104"/>
      <c r="E121" s="153"/>
      <c r="F121" s="154"/>
      <c r="G121" s="155"/>
      <c r="H121" s="155"/>
      <c r="I121" s="155"/>
      <c r="J121" s="156"/>
      <c r="K121" s="151"/>
    </row>
    <row r="122" spans="1:11" ht="15" x14ac:dyDescent="0.25">
      <c r="A122" s="151"/>
      <c r="B122" s="149"/>
      <c r="C122" s="152">
        <v>8</v>
      </c>
      <c r="D122" s="104"/>
      <c r="E122" s="153"/>
      <c r="F122" s="154"/>
      <c r="G122" s="155"/>
      <c r="H122" s="155"/>
      <c r="I122" s="155"/>
      <c r="J122" s="156"/>
      <c r="K122" s="151"/>
    </row>
    <row r="123" spans="1:11" ht="15.75" x14ac:dyDescent="0.25">
      <c r="A123" s="105"/>
      <c r="B123" s="105"/>
      <c r="C123" s="105"/>
      <c r="D123" s="105"/>
      <c r="E123" s="105"/>
      <c r="F123" s="105"/>
      <c r="G123" s="105"/>
      <c r="H123" s="105"/>
      <c r="I123" s="105"/>
      <c r="J123" s="105"/>
      <c r="K123" s="105"/>
    </row>
    <row r="124" spans="1:11" ht="15.75" x14ac:dyDescent="0.2">
      <c r="A124" s="100" t="s">
        <v>887</v>
      </c>
      <c r="B124" s="100" t="s">
        <v>1012</v>
      </c>
      <c r="C124" s="100" t="s">
        <v>108</v>
      </c>
      <c r="D124" s="100" t="s">
        <v>802</v>
      </c>
      <c r="E124" s="100" t="s">
        <v>109</v>
      </c>
      <c r="F124" s="100" t="s">
        <v>112</v>
      </c>
      <c r="G124" s="100" t="s">
        <v>111</v>
      </c>
      <c r="H124" s="100" t="s">
        <v>255</v>
      </c>
      <c r="I124" s="100" t="s">
        <v>256</v>
      </c>
      <c r="J124" s="100" t="s">
        <v>254</v>
      </c>
      <c r="K124" s="100" t="s">
        <v>803</v>
      </c>
    </row>
    <row r="125" spans="1:11" ht="15.75" x14ac:dyDescent="0.25">
      <c r="A125" s="87" t="s">
        <v>890</v>
      </c>
      <c r="B125" s="87" t="s">
        <v>1009</v>
      </c>
      <c r="C125" s="108" t="s">
        <v>550</v>
      </c>
      <c r="D125" s="107" t="s">
        <v>127</v>
      </c>
      <c r="E125" s="107" t="s">
        <v>128</v>
      </c>
      <c r="F125" s="107" t="s">
        <v>129</v>
      </c>
      <c r="G125" s="108" t="s">
        <v>321</v>
      </c>
      <c r="H125" s="108" t="s">
        <v>262</v>
      </c>
      <c r="I125" s="108" t="s">
        <v>458</v>
      </c>
      <c r="J125" s="108" t="s">
        <v>1021</v>
      </c>
      <c r="K125" s="108" t="s">
        <v>1140</v>
      </c>
    </row>
    <row r="126" spans="1:11" ht="15.75" x14ac:dyDescent="0.25">
      <c r="A126" s="87" t="s">
        <v>890</v>
      </c>
      <c r="B126" s="87" t="s">
        <v>1009</v>
      </c>
      <c r="C126" s="108" t="s">
        <v>551</v>
      </c>
      <c r="D126" s="107" t="s">
        <v>226</v>
      </c>
      <c r="E126" s="107" t="s">
        <v>161</v>
      </c>
      <c r="F126" s="107" t="s">
        <v>227</v>
      </c>
      <c r="G126" s="108" t="s">
        <v>321</v>
      </c>
      <c r="H126" s="108" t="s">
        <v>307</v>
      </c>
      <c r="I126" s="108" t="s">
        <v>514</v>
      </c>
      <c r="J126" s="108" t="s">
        <v>1028</v>
      </c>
      <c r="K126" s="108" t="s">
        <v>1141</v>
      </c>
    </row>
    <row r="127" spans="1:11" ht="15.75" x14ac:dyDescent="0.25">
      <c r="A127" s="87" t="s">
        <v>890</v>
      </c>
      <c r="B127" s="87" t="s">
        <v>1009</v>
      </c>
      <c r="C127" s="108" t="s">
        <v>556</v>
      </c>
      <c r="D127" s="107" t="s">
        <v>193</v>
      </c>
      <c r="E127" s="107" t="s">
        <v>383</v>
      </c>
      <c r="F127" s="107" t="s">
        <v>195</v>
      </c>
      <c r="G127" s="108" t="s">
        <v>321</v>
      </c>
      <c r="H127" s="108" t="s">
        <v>291</v>
      </c>
      <c r="I127" s="108" t="s">
        <v>494</v>
      </c>
      <c r="J127" s="108" t="s">
        <v>1025</v>
      </c>
      <c r="K127" s="108" t="s">
        <v>1142</v>
      </c>
    </row>
    <row r="128" spans="1:11" ht="28.5" x14ac:dyDescent="0.25">
      <c r="A128" s="87" t="s">
        <v>890</v>
      </c>
      <c r="B128" s="87" t="s">
        <v>1009</v>
      </c>
      <c r="C128" s="108" t="s">
        <v>53</v>
      </c>
      <c r="D128" s="107" t="s">
        <v>250</v>
      </c>
      <c r="E128" s="107" t="s">
        <v>251</v>
      </c>
      <c r="F128" s="107" t="s">
        <v>252</v>
      </c>
      <c r="G128" s="108" t="s">
        <v>321</v>
      </c>
      <c r="H128" s="108" t="s">
        <v>319</v>
      </c>
      <c r="I128" s="108" t="s">
        <v>528</v>
      </c>
      <c r="J128" s="108" t="s">
        <v>1032</v>
      </c>
      <c r="K128" s="108" t="s">
        <v>1143</v>
      </c>
    </row>
    <row r="129" spans="1:11" ht="15.75" x14ac:dyDescent="0.25">
      <c r="A129" s="87" t="s">
        <v>890</v>
      </c>
      <c r="B129" s="87" t="s">
        <v>1009</v>
      </c>
      <c r="C129" s="108" t="s">
        <v>564</v>
      </c>
      <c r="D129" s="107" t="s">
        <v>858</v>
      </c>
      <c r="E129" s="107" t="s">
        <v>185</v>
      </c>
      <c r="F129" s="107" t="s">
        <v>186</v>
      </c>
      <c r="G129" s="108" t="s">
        <v>321</v>
      </c>
      <c r="H129" s="108" t="s">
        <v>287</v>
      </c>
      <c r="I129" s="108" t="s">
        <v>490</v>
      </c>
      <c r="J129" s="108" t="s">
        <v>1024</v>
      </c>
      <c r="K129" s="108" t="s">
        <v>1144</v>
      </c>
    </row>
    <row r="130" spans="1:11" ht="15.75" x14ac:dyDescent="0.25">
      <c r="A130" s="87" t="s">
        <v>890</v>
      </c>
      <c r="B130" s="87" t="s">
        <v>1009</v>
      </c>
      <c r="C130" s="108" t="s">
        <v>960</v>
      </c>
      <c r="D130" s="107" t="s">
        <v>867</v>
      </c>
      <c r="E130" s="107" t="s">
        <v>161</v>
      </c>
      <c r="F130" s="107" t="s">
        <v>868</v>
      </c>
      <c r="G130" s="108" t="s">
        <v>321</v>
      </c>
      <c r="H130" s="108" t="s">
        <v>904</v>
      </c>
      <c r="I130" s="108" t="s">
        <v>905</v>
      </c>
      <c r="J130" s="108" t="s">
        <v>1027</v>
      </c>
      <c r="K130" s="108" t="s">
        <v>1145</v>
      </c>
    </row>
    <row r="131" spans="1:11" ht="15.75" x14ac:dyDescent="0.25">
      <c r="A131" s="87" t="s">
        <v>890</v>
      </c>
      <c r="B131" s="87" t="s">
        <v>1009</v>
      </c>
      <c r="C131" s="108" t="s">
        <v>570</v>
      </c>
      <c r="D131" s="107" t="s">
        <v>420</v>
      </c>
      <c r="E131" s="107" t="s">
        <v>421</v>
      </c>
      <c r="F131" s="107" t="s">
        <v>422</v>
      </c>
      <c r="G131" s="108" t="s">
        <v>321</v>
      </c>
      <c r="H131" s="108" t="s">
        <v>451</v>
      </c>
      <c r="I131" s="108" t="s">
        <v>516</v>
      </c>
      <c r="J131" s="108" t="s">
        <v>1029</v>
      </c>
      <c r="K131" s="108" t="s">
        <v>1146</v>
      </c>
    </row>
    <row r="132" spans="1:11" ht="15.75" x14ac:dyDescent="0.25">
      <c r="A132" s="87" t="s">
        <v>890</v>
      </c>
      <c r="B132" s="87" t="s">
        <v>1009</v>
      </c>
      <c r="C132" s="108" t="s">
        <v>573</v>
      </c>
      <c r="D132" s="107" t="s">
        <v>392</v>
      </c>
      <c r="E132" s="107" t="s">
        <v>393</v>
      </c>
      <c r="F132" s="107" t="s">
        <v>394</v>
      </c>
      <c r="G132" s="108" t="s">
        <v>321</v>
      </c>
      <c r="H132" s="108" t="s">
        <v>447</v>
      </c>
      <c r="I132" s="108" t="s">
        <v>498</v>
      </c>
      <c r="J132" s="108" t="s">
        <v>1026</v>
      </c>
      <c r="K132" s="108" t="s">
        <v>1147</v>
      </c>
    </row>
    <row r="133" spans="1:11" ht="15.75" x14ac:dyDescent="0.25">
      <c r="A133" s="87" t="s">
        <v>890</v>
      </c>
      <c r="B133" s="87" t="s">
        <v>1009</v>
      </c>
      <c r="C133" s="108" t="s">
        <v>580</v>
      </c>
      <c r="D133" s="107" t="s">
        <v>117</v>
      </c>
      <c r="E133" s="107" t="s">
        <v>118</v>
      </c>
      <c r="F133" s="107" t="s">
        <v>119</v>
      </c>
      <c r="G133" s="108" t="s">
        <v>321</v>
      </c>
      <c r="H133" s="108" t="s">
        <v>258</v>
      </c>
      <c r="I133" s="108" t="s">
        <v>454</v>
      </c>
      <c r="J133" s="108" t="s">
        <v>1020</v>
      </c>
      <c r="K133" s="108" t="s">
        <v>1148</v>
      </c>
    </row>
    <row r="134" spans="1:11" ht="15.75" x14ac:dyDescent="0.25">
      <c r="A134" s="87" t="s">
        <v>890</v>
      </c>
      <c r="B134" s="87" t="s">
        <v>1009</v>
      </c>
      <c r="C134" s="108" t="s">
        <v>581</v>
      </c>
      <c r="D134" s="107" t="s">
        <v>857</v>
      </c>
      <c r="E134" s="107" t="s">
        <v>168</v>
      </c>
      <c r="F134" s="107" t="s">
        <v>169</v>
      </c>
      <c r="G134" s="108" t="s">
        <v>321</v>
      </c>
      <c r="H134" s="108" t="s">
        <v>279</v>
      </c>
      <c r="I134" s="108" t="s">
        <v>482</v>
      </c>
      <c r="J134" s="108" t="s">
        <v>1023</v>
      </c>
      <c r="K134" s="108" t="s">
        <v>1149</v>
      </c>
    </row>
    <row r="135" spans="1:11" ht="15.75" x14ac:dyDescent="0.25">
      <c r="A135" s="87" t="s">
        <v>890</v>
      </c>
      <c r="B135" s="87" t="s">
        <v>1009</v>
      </c>
      <c r="C135" s="108" t="s">
        <v>594</v>
      </c>
      <c r="D135" s="107" t="s">
        <v>873</v>
      </c>
      <c r="E135" s="107" t="s">
        <v>194</v>
      </c>
      <c r="F135" s="107" t="s">
        <v>239</v>
      </c>
      <c r="G135" s="108" t="s">
        <v>321</v>
      </c>
      <c r="H135" s="108" t="s">
        <v>313</v>
      </c>
      <c r="I135" s="108" t="s">
        <v>521</v>
      </c>
      <c r="J135" s="108" t="s">
        <v>1030</v>
      </c>
      <c r="K135" s="108" t="s">
        <v>1150</v>
      </c>
    </row>
    <row r="136" spans="1:11" ht="15.75" x14ac:dyDescent="0.25">
      <c r="A136" s="87" t="s">
        <v>890</v>
      </c>
      <c r="B136" s="87" t="s">
        <v>1009</v>
      </c>
      <c r="C136" s="108" t="s">
        <v>79</v>
      </c>
      <c r="D136" s="107" t="s">
        <v>343</v>
      </c>
      <c r="E136" s="107" t="s">
        <v>194</v>
      </c>
      <c r="F136" s="107" t="s">
        <v>344</v>
      </c>
      <c r="G136" s="108" t="s">
        <v>321</v>
      </c>
      <c r="H136" s="108" t="s">
        <v>440</v>
      </c>
      <c r="I136" s="108" t="s">
        <v>466</v>
      </c>
      <c r="J136" s="108" t="s">
        <v>1022</v>
      </c>
      <c r="K136" s="108" t="s">
        <v>1151</v>
      </c>
    </row>
    <row r="137" spans="1:11" ht="15.75" x14ac:dyDescent="0.25">
      <c r="A137" s="87" t="s">
        <v>890</v>
      </c>
      <c r="B137" s="87" t="s">
        <v>1009</v>
      </c>
      <c r="C137" s="108" t="s">
        <v>607</v>
      </c>
      <c r="D137" s="107" t="s">
        <v>240</v>
      </c>
      <c r="E137" s="107" t="s">
        <v>161</v>
      </c>
      <c r="F137" s="107" t="s">
        <v>241</v>
      </c>
      <c r="G137" s="108" t="s">
        <v>321</v>
      </c>
      <c r="H137" s="108" t="s">
        <v>314</v>
      </c>
      <c r="I137" s="108" t="s">
        <v>522</v>
      </c>
      <c r="J137" s="108" t="s">
        <v>1031</v>
      </c>
      <c r="K137" s="108" t="s">
        <v>1152</v>
      </c>
    </row>
    <row r="138" spans="1:11" ht="15.75" x14ac:dyDescent="0.25">
      <c r="A138" s="85"/>
      <c r="B138" s="85"/>
      <c r="C138" s="85"/>
      <c r="D138" s="85"/>
      <c r="E138" s="85"/>
      <c r="F138" s="85"/>
      <c r="G138" s="85"/>
      <c r="H138" s="85"/>
      <c r="I138" s="85"/>
      <c r="J138" s="85"/>
      <c r="K138" s="85"/>
    </row>
    <row r="139" spans="1:11" ht="15.75" x14ac:dyDescent="0.25">
      <c r="A139" s="90"/>
      <c r="B139" s="90"/>
      <c r="C139" s="90"/>
      <c r="D139" s="160" t="s">
        <v>1153</v>
      </c>
      <c r="E139" s="92" t="s">
        <v>1008</v>
      </c>
      <c r="F139" s="93" t="s">
        <v>1009</v>
      </c>
      <c r="G139" s="94" t="s">
        <v>884</v>
      </c>
      <c r="H139" s="95" t="s">
        <v>1010</v>
      </c>
      <c r="I139" s="96" t="s">
        <v>635</v>
      </c>
      <c r="J139" s="97" t="s">
        <v>634</v>
      </c>
      <c r="K139" s="90"/>
    </row>
    <row r="140" spans="1:11" ht="15.75" x14ac:dyDescent="0.25">
      <c r="A140" s="90"/>
      <c r="B140" s="90"/>
      <c r="C140" s="106" t="s">
        <v>1036</v>
      </c>
      <c r="D140" s="160">
        <f>COUNTIF(G153:G165,"T")</f>
        <v>0</v>
      </c>
      <c r="E140" s="92">
        <f>COUNTIF(B153:B165,E139)</f>
        <v>0</v>
      </c>
      <c r="F140" s="93">
        <f>COUNTIF(B153:B165,F139)</f>
        <v>13</v>
      </c>
      <c r="G140" s="94">
        <f>COUNTIF(B153:B165,G139)</f>
        <v>0</v>
      </c>
      <c r="H140" s="95">
        <f>COUNTIF(B153:B165,H139)</f>
        <v>0</v>
      </c>
      <c r="I140" s="96">
        <f>SUM(E140:H140)</f>
        <v>13</v>
      </c>
      <c r="J140" s="150">
        <f>COUNTIF(D148:D150,"")</f>
        <v>3</v>
      </c>
      <c r="K140" s="90"/>
    </row>
    <row r="141" spans="1:11" ht="15.75" x14ac:dyDescent="0.25">
      <c r="A141" s="90"/>
      <c r="B141" s="90"/>
      <c r="C141" s="98" t="s">
        <v>631</v>
      </c>
      <c r="D141" s="98" t="s">
        <v>529</v>
      </c>
      <c r="E141" s="98" t="s">
        <v>107</v>
      </c>
      <c r="F141" s="124" t="s">
        <v>804</v>
      </c>
      <c r="G141" s="125"/>
      <c r="H141" s="125"/>
      <c r="I141" s="125"/>
      <c r="J141" s="126"/>
      <c r="K141" s="90"/>
    </row>
    <row r="142" spans="1:11" ht="15.75" x14ac:dyDescent="0.25">
      <c r="A142" s="90"/>
      <c r="B142" s="90"/>
      <c r="C142" s="87">
        <v>1</v>
      </c>
      <c r="D142" s="87"/>
      <c r="E142" s="87"/>
      <c r="F142" s="113"/>
      <c r="G142" s="114"/>
      <c r="H142" s="114"/>
      <c r="I142" s="114"/>
      <c r="J142" s="115"/>
      <c r="K142" s="90"/>
    </row>
    <row r="143" spans="1:11" ht="15.75" x14ac:dyDescent="0.25">
      <c r="A143" s="90"/>
      <c r="B143" s="90"/>
      <c r="C143" s="87">
        <v>2</v>
      </c>
      <c r="D143" s="87"/>
      <c r="E143" s="87"/>
      <c r="F143" s="113"/>
      <c r="G143" s="114"/>
      <c r="H143" s="114"/>
      <c r="I143" s="114"/>
      <c r="J143" s="115"/>
      <c r="K143" s="90"/>
    </row>
    <row r="144" spans="1:11" ht="15.75" x14ac:dyDescent="0.25">
      <c r="A144" s="90"/>
      <c r="B144" s="90"/>
      <c r="C144" s="87">
        <v>3</v>
      </c>
      <c r="D144" s="87"/>
      <c r="E144" s="87"/>
      <c r="F144" s="113"/>
      <c r="G144" s="114"/>
      <c r="H144" s="114"/>
      <c r="I144" s="114"/>
      <c r="J144" s="115"/>
      <c r="K144" s="90"/>
    </row>
    <row r="145" spans="1:11" ht="15.75" x14ac:dyDescent="0.25">
      <c r="A145" s="90"/>
      <c r="B145" s="90"/>
      <c r="C145" s="87">
        <v>4</v>
      </c>
      <c r="D145" s="87"/>
      <c r="E145" s="87"/>
      <c r="F145" s="113"/>
      <c r="G145" s="114"/>
      <c r="H145" s="114"/>
      <c r="I145" s="114"/>
      <c r="J145" s="115"/>
      <c r="K145" s="90"/>
    </row>
    <row r="146" spans="1:11" ht="15.75" x14ac:dyDescent="0.25">
      <c r="A146" s="90"/>
      <c r="B146" s="90"/>
      <c r="C146" s="87">
        <v>5</v>
      </c>
      <c r="D146" s="87"/>
      <c r="E146" s="87"/>
      <c r="F146" s="113"/>
      <c r="G146" s="114"/>
      <c r="H146" s="114"/>
      <c r="I146" s="114"/>
      <c r="J146" s="115"/>
      <c r="K146" s="90"/>
    </row>
    <row r="147" spans="1:11" ht="15.75" x14ac:dyDescent="0.25">
      <c r="A147" s="90"/>
      <c r="B147" s="90"/>
      <c r="C147" s="87">
        <v>6</v>
      </c>
      <c r="D147" s="87"/>
      <c r="E147" s="87"/>
      <c r="F147" s="113"/>
      <c r="G147" s="114"/>
      <c r="H147" s="114"/>
      <c r="I147" s="114"/>
      <c r="J147" s="115"/>
      <c r="K147" s="90"/>
    </row>
    <row r="148" spans="1:11" ht="15.75" x14ac:dyDescent="0.25">
      <c r="A148" s="90"/>
      <c r="B148" s="90"/>
      <c r="C148" s="87">
        <v>7</v>
      </c>
      <c r="D148" s="87"/>
      <c r="E148" s="87"/>
      <c r="F148" s="113"/>
      <c r="G148" s="114"/>
      <c r="H148" s="114"/>
      <c r="I148" s="114"/>
      <c r="J148" s="115"/>
      <c r="K148" s="90"/>
    </row>
    <row r="149" spans="1:11" ht="15.75" x14ac:dyDescent="0.25">
      <c r="A149" s="90"/>
      <c r="B149" s="90"/>
      <c r="C149" s="87">
        <v>8</v>
      </c>
      <c r="D149" s="87"/>
      <c r="E149" s="87"/>
      <c r="F149" s="113"/>
      <c r="G149" s="114"/>
      <c r="H149" s="114"/>
      <c r="I149" s="114"/>
      <c r="J149" s="115"/>
      <c r="K149" s="90"/>
    </row>
    <row r="150" spans="1:11" ht="15.75" x14ac:dyDescent="0.25">
      <c r="A150" s="90"/>
      <c r="B150" s="90"/>
      <c r="C150" s="87">
        <v>9</v>
      </c>
      <c r="D150" s="87"/>
      <c r="E150" s="87"/>
      <c r="F150" s="113"/>
      <c r="G150" s="114"/>
      <c r="H150" s="114"/>
      <c r="I150" s="114"/>
      <c r="J150" s="115"/>
      <c r="K150" s="90"/>
    </row>
    <row r="151" spans="1:11" ht="15.75" x14ac:dyDescent="0.25">
      <c r="A151" s="105"/>
      <c r="B151" s="105"/>
      <c r="C151" s="105"/>
      <c r="D151" s="105"/>
      <c r="E151" s="105"/>
      <c r="F151" s="105"/>
      <c r="G151" s="105"/>
      <c r="H151" s="105"/>
      <c r="I151" s="105"/>
      <c r="J151" s="105"/>
      <c r="K151" s="105"/>
    </row>
    <row r="152" spans="1:11" ht="15.75" x14ac:dyDescent="0.2">
      <c r="A152" s="100" t="s">
        <v>887</v>
      </c>
      <c r="B152" s="100" t="s">
        <v>1012</v>
      </c>
      <c r="C152" s="100" t="s">
        <v>108</v>
      </c>
      <c r="D152" s="100" t="s">
        <v>802</v>
      </c>
      <c r="E152" s="100" t="s">
        <v>109</v>
      </c>
      <c r="F152" s="100" t="s">
        <v>112</v>
      </c>
      <c r="G152" s="100" t="s">
        <v>111</v>
      </c>
      <c r="H152" s="100" t="s">
        <v>255</v>
      </c>
      <c r="I152" s="100" t="s">
        <v>256</v>
      </c>
      <c r="J152" s="100" t="s">
        <v>254</v>
      </c>
      <c r="K152" s="100" t="s">
        <v>803</v>
      </c>
    </row>
    <row r="153" spans="1:11" ht="15.75" x14ac:dyDescent="0.25">
      <c r="A153" s="87" t="s">
        <v>890</v>
      </c>
      <c r="B153" s="87" t="s">
        <v>1009</v>
      </c>
      <c r="C153" s="83" t="s">
        <v>967</v>
      </c>
      <c r="D153" s="81" t="s">
        <v>874</v>
      </c>
      <c r="E153" s="81" t="s">
        <v>141</v>
      </c>
      <c r="F153" s="81" t="s">
        <v>229</v>
      </c>
      <c r="G153" s="83" t="s">
        <v>253</v>
      </c>
      <c r="H153" s="83" t="s">
        <v>908</v>
      </c>
      <c r="I153" s="83" t="s">
        <v>909</v>
      </c>
      <c r="J153" s="83" t="s">
        <v>982</v>
      </c>
      <c r="K153" s="83" t="s">
        <v>1124</v>
      </c>
    </row>
    <row r="154" spans="1:11" ht="15.75" x14ac:dyDescent="0.25">
      <c r="A154" s="87" t="s">
        <v>890</v>
      </c>
      <c r="B154" s="87" t="s">
        <v>1009</v>
      </c>
      <c r="C154" s="83" t="s">
        <v>554</v>
      </c>
      <c r="D154" s="81" t="s">
        <v>210</v>
      </c>
      <c r="E154" s="81" t="s">
        <v>141</v>
      </c>
      <c r="F154" s="81" t="s">
        <v>211</v>
      </c>
      <c r="G154" s="83" t="s">
        <v>253</v>
      </c>
      <c r="H154" s="83" t="s">
        <v>299</v>
      </c>
      <c r="I154" s="83" t="s">
        <v>504</v>
      </c>
      <c r="J154" s="83" t="s">
        <v>977</v>
      </c>
      <c r="K154" s="83" t="s">
        <v>1125</v>
      </c>
    </row>
    <row r="155" spans="1:11" ht="15.75" x14ac:dyDescent="0.25">
      <c r="A155" s="87" t="s">
        <v>890</v>
      </c>
      <c r="B155" s="87" t="s">
        <v>1009</v>
      </c>
      <c r="C155" s="83" t="s">
        <v>562</v>
      </c>
      <c r="D155" s="81" t="s">
        <v>196</v>
      </c>
      <c r="E155" s="81" t="s">
        <v>141</v>
      </c>
      <c r="F155" s="81" t="s">
        <v>197</v>
      </c>
      <c r="G155" s="83" t="s">
        <v>253</v>
      </c>
      <c r="H155" s="83" t="s">
        <v>292</v>
      </c>
      <c r="I155" s="83" t="s">
        <v>495</v>
      </c>
      <c r="J155" s="83" t="s">
        <v>973</v>
      </c>
      <c r="K155" s="83" t="s">
        <v>1126</v>
      </c>
    </row>
    <row r="156" spans="1:11" ht="15.75" x14ac:dyDescent="0.25">
      <c r="A156" s="87" t="s">
        <v>890</v>
      </c>
      <c r="B156" s="87" t="s">
        <v>1009</v>
      </c>
      <c r="C156" s="83" t="s">
        <v>565</v>
      </c>
      <c r="D156" s="81" t="s">
        <v>350</v>
      </c>
      <c r="E156" s="81" t="s">
        <v>141</v>
      </c>
      <c r="F156" s="81" t="s">
        <v>351</v>
      </c>
      <c r="G156" s="83" t="s">
        <v>253</v>
      </c>
      <c r="H156" s="83" t="s">
        <v>441</v>
      </c>
      <c r="I156" s="83" t="s">
        <v>471</v>
      </c>
      <c r="J156" s="83" t="s">
        <v>970</v>
      </c>
      <c r="K156" s="83" t="s">
        <v>1127</v>
      </c>
    </row>
    <row r="157" spans="1:11" ht="15.75" x14ac:dyDescent="0.25">
      <c r="A157" s="87" t="s">
        <v>890</v>
      </c>
      <c r="B157" s="87" t="s">
        <v>1009</v>
      </c>
      <c r="C157" s="83" t="s">
        <v>83</v>
      </c>
      <c r="D157" s="81" t="s">
        <v>248</v>
      </c>
      <c r="E157" s="81" t="s">
        <v>141</v>
      </c>
      <c r="F157" s="81" t="s">
        <v>249</v>
      </c>
      <c r="G157" s="83" t="s">
        <v>253</v>
      </c>
      <c r="H157" s="83" t="s">
        <v>318</v>
      </c>
      <c r="I157" s="83" t="s">
        <v>527</v>
      </c>
      <c r="J157" s="83" t="s">
        <v>983</v>
      </c>
      <c r="K157" s="83" t="s">
        <v>1128</v>
      </c>
    </row>
    <row r="158" spans="1:11" ht="15.75" x14ac:dyDescent="0.25">
      <c r="A158" s="87" t="s">
        <v>890</v>
      </c>
      <c r="B158" s="87" t="s">
        <v>1009</v>
      </c>
      <c r="C158" s="83" t="s">
        <v>578</v>
      </c>
      <c r="D158" s="81" t="s">
        <v>236</v>
      </c>
      <c r="E158" s="81" t="s">
        <v>141</v>
      </c>
      <c r="F158" s="81" t="s">
        <v>237</v>
      </c>
      <c r="G158" s="83" t="s">
        <v>253</v>
      </c>
      <c r="H158" s="83" t="s">
        <v>312</v>
      </c>
      <c r="I158" s="83" t="s">
        <v>520</v>
      </c>
      <c r="J158" s="83" t="s">
        <v>981</v>
      </c>
      <c r="K158" s="83" t="s">
        <v>1129</v>
      </c>
    </row>
    <row r="159" spans="1:11" ht="15.75" x14ac:dyDescent="0.25">
      <c r="A159" s="87" t="s">
        <v>890</v>
      </c>
      <c r="B159" s="87" t="s">
        <v>1009</v>
      </c>
      <c r="C159" s="83" t="s">
        <v>963</v>
      </c>
      <c r="D159" s="81" t="s">
        <v>870</v>
      </c>
      <c r="E159" s="81" t="s">
        <v>141</v>
      </c>
      <c r="F159" s="81" t="s">
        <v>871</v>
      </c>
      <c r="G159" s="83" t="s">
        <v>253</v>
      </c>
      <c r="H159" s="83" t="s">
        <v>906</v>
      </c>
      <c r="I159" s="83" t="s">
        <v>907</v>
      </c>
      <c r="J159" s="83" t="s">
        <v>980</v>
      </c>
      <c r="K159" s="83" t="s">
        <v>1130</v>
      </c>
    </row>
    <row r="160" spans="1:11" ht="15.75" x14ac:dyDescent="0.25">
      <c r="A160" s="87" t="s">
        <v>890</v>
      </c>
      <c r="B160" s="87" t="s">
        <v>1009</v>
      </c>
      <c r="C160" s="83" t="s">
        <v>77</v>
      </c>
      <c r="D160" s="81" t="s">
        <v>204</v>
      </c>
      <c r="E160" s="81" t="s">
        <v>141</v>
      </c>
      <c r="F160" s="81" t="s">
        <v>205</v>
      </c>
      <c r="G160" s="83" t="s">
        <v>253</v>
      </c>
      <c r="H160" s="83" t="s">
        <v>296</v>
      </c>
      <c r="I160" s="83" t="s">
        <v>501</v>
      </c>
      <c r="J160" s="83" t="s">
        <v>976</v>
      </c>
      <c r="K160" s="83" t="s">
        <v>1131</v>
      </c>
    </row>
    <row r="161" spans="1:11" ht="15.75" x14ac:dyDescent="0.25">
      <c r="A161" s="87" t="s">
        <v>890</v>
      </c>
      <c r="B161" s="87" t="s">
        <v>1009</v>
      </c>
      <c r="C161" s="83" t="s">
        <v>92</v>
      </c>
      <c r="D161" s="81" t="s">
        <v>200</v>
      </c>
      <c r="E161" s="81" t="s">
        <v>141</v>
      </c>
      <c r="F161" s="81" t="s">
        <v>201</v>
      </c>
      <c r="G161" s="83" t="s">
        <v>253</v>
      </c>
      <c r="H161" s="83" t="s">
        <v>294</v>
      </c>
      <c r="I161" s="83" t="s">
        <v>497</v>
      </c>
      <c r="J161" s="83" t="s">
        <v>975</v>
      </c>
      <c r="K161" s="83" t="s">
        <v>1132</v>
      </c>
    </row>
    <row r="162" spans="1:11" ht="15.75" x14ac:dyDescent="0.25">
      <c r="A162" s="87" t="s">
        <v>890</v>
      </c>
      <c r="B162" s="87" t="s">
        <v>1009</v>
      </c>
      <c r="C162" s="83" t="s">
        <v>591</v>
      </c>
      <c r="D162" s="81" t="s">
        <v>140</v>
      </c>
      <c r="E162" s="81" t="s">
        <v>141</v>
      </c>
      <c r="F162" s="81" t="s">
        <v>142</v>
      </c>
      <c r="G162" s="83" t="s">
        <v>253</v>
      </c>
      <c r="H162" s="83" t="s">
        <v>268</v>
      </c>
      <c r="I162" s="83" t="s">
        <v>465</v>
      </c>
      <c r="J162" s="83" t="s">
        <v>969</v>
      </c>
      <c r="K162" s="83" t="s">
        <v>1133</v>
      </c>
    </row>
    <row r="163" spans="1:11" ht="15.75" x14ac:dyDescent="0.25">
      <c r="A163" s="87" t="s">
        <v>890</v>
      </c>
      <c r="B163" s="87" t="s">
        <v>1009</v>
      </c>
      <c r="C163" s="83" t="s">
        <v>599</v>
      </c>
      <c r="D163" s="81" t="s">
        <v>218</v>
      </c>
      <c r="E163" s="81" t="s">
        <v>141</v>
      </c>
      <c r="F163" s="81" t="s">
        <v>219</v>
      </c>
      <c r="G163" s="83" t="s">
        <v>253</v>
      </c>
      <c r="H163" s="83" t="s">
        <v>303</v>
      </c>
      <c r="I163" s="83" t="s">
        <v>509</v>
      </c>
      <c r="J163" s="83" t="s">
        <v>978</v>
      </c>
      <c r="K163" s="83" t="s">
        <v>1134</v>
      </c>
    </row>
    <row r="164" spans="1:11" ht="15.75" x14ac:dyDescent="0.25">
      <c r="A164" s="87" t="s">
        <v>890</v>
      </c>
      <c r="B164" s="87" t="s">
        <v>1009</v>
      </c>
      <c r="C164" s="83" t="s">
        <v>603</v>
      </c>
      <c r="D164" s="81" t="s">
        <v>386</v>
      </c>
      <c r="E164" s="81" t="s">
        <v>141</v>
      </c>
      <c r="F164" s="81" t="s">
        <v>388</v>
      </c>
      <c r="G164" s="83" t="s">
        <v>253</v>
      </c>
      <c r="H164" s="83" t="s">
        <v>446</v>
      </c>
      <c r="I164" s="83" t="s">
        <v>453</v>
      </c>
      <c r="J164" s="83" t="s">
        <v>974</v>
      </c>
      <c r="K164" s="83" t="s">
        <v>1135</v>
      </c>
    </row>
    <row r="165" spans="1:11" ht="15.75" x14ac:dyDescent="0.25">
      <c r="A165" s="87" t="s">
        <v>890</v>
      </c>
      <c r="B165" s="87" t="s">
        <v>1009</v>
      </c>
      <c r="C165" s="83" t="s">
        <v>606</v>
      </c>
      <c r="D165" s="81" t="s">
        <v>414</v>
      </c>
      <c r="E165" s="81" t="s">
        <v>141</v>
      </c>
      <c r="F165" s="81" t="s">
        <v>415</v>
      </c>
      <c r="G165" s="83" t="s">
        <v>253</v>
      </c>
      <c r="H165" s="83" t="s">
        <v>450</v>
      </c>
      <c r="I165" s="83" t="s">
        <v>512</v>
      </c>
      <c r="J165" s="83" t="s">
        <v>979</v>
      </c>
      <c r="K165" s="83" t="s">
        <v>1136</v>
      </c>
    </row>
    <row r="166" spans="1:11" ht="15.75" x14ac:dyDescent="0.25">
      <c r="A166" s="87" t="s">
        <v>890</v>
      </c>
      <c r="B166" s="87" t="s">
        <v>1009</v>
      </c>
      <c r="C166" s="83" t="s">
        <v>934</v>
      </c>
      <c r="D166" s="81" t="s">
        <v>854</v>
      </c>
      <c r="E166" s="81" t="s">
        <v>141</v>
      </c>
      <c r="F166" s="81" t="s">
        <v>855</v>
      </c>
      <c r="G166" s="83" t="s">
        <v>253</v>
      </c>
      <c r="H166" s="83" t="s">
        <v>897</v>
      </c>
      <c r="I166" s="83" t="s">
        <v>898</v>
      </c>
      <c r="J166" s="83" t="s">
        <v>971</v>
      </c>
      <c r="K166" s="83" t="s">
        <v>1137</v>
      </c>
    </row>
    <row r="167" spans="1:11" ht="15.75" x14ac:dyDescent="0.25">
      <c r="A167" s="87" t="s">
        <v>890</v>
      </c>
      <c r="B167" s="87" t="s">
        <v>1009</v>
      </c>
      <c r="C167" s="83" t="s">
        <v>968</v>
      </c>
      <c r="D167" s="81" t="s">
        <v>875</v>
      </c>
      <c r="E167" s="81" t="s">
        <v>141</v>
      </c>
      <c r="F167" s="81" t="s">
        <v>876</v>
      </c>
      <c r="G167" s="83" t="s">
        <v>253</v>
      </c>
      <c r="H167" s="83" t="s">
        <v>910</v>
      </c>
      <c r="I167" s="83" t="s">
        <v>911</v>
      </c>
      <c r="J167" s="83" t="s">
        <v>984</v>
      </c>
      <c r="K167" s="83" t="s">
        <v>1138</v>
      </c>
    </row>
    <row r="168" spans="1:11" ht="15.75" x14ac:dyDescent="0.25">
      <c r="A168" s="87" t="s">
        <v>890</v>
      </c>
      <c r="B168" s="87" t="s">
        <v>1009</v>
      </c>
      <c r="C168" s="83" t="s">
        <v>44</v>
      </c>
      <c r="D168" s="81" t="s">
        <v>859</v>
      </c>
      <c r="E168" s="81" t="s">
        <v>141</v>
      </c>
      <c r="F168" s="81" t="s">
        <v>188</v>
      </c>
      <c r="G168" s="83" t="s">
        <v>253</v>
      </c>
      <c r="H168" s="83" t="s">
        <v>288</v>
      </c>
      <c r="I168" s="83" t="s">
        <v>491</v>
      </c>
      <c r="J168" s="83" t="s">
        <v>972</v>
      </c>
      <c r="K168" s="83" t="s">
        <v>1139</v>
      </c>
    </row>
    <row r="169" spans="1:11" ht="15.75" x14ac:dyDescent="0.25">
      <c r="A169" s="87" t="s">
        <v>890</v>
      </c>
      <c r="B169" s="87" t="s">
        <v>1009</v>
      </c>
      <c r="C169" s="108" t="s">
        <v>551</v>
      </c>
      <c r="D169" s="107" t="s">
        <v>226</v>
      </c>
      <c r="E169" s="107" t="s">
        <v>161</v>
      </c>
      <c r="F169" s="107" t="s">
        <v>227</v>
      </c>
      <c r="G169" s="108" t="s">
        <v>321</v>
      </c>
      <c r="H169" s="108" t="s">
        <v>307</v>
      </c>
      <c r="I169" s="108" t="s">
        <v>514</v>
      </c>
      <c r="J169" s="108" t="s">
        <v>1028</v>
      </c>
      <c r="K169" s="108" t="s">
        <v>1141</v>
      </c>
    </row>
    <row r="170" spans="1:11" ht="15.75" x14ac:dyDescent="0.25">
      <c r="A170" s="87" t="s">
        <v>890</v>
      </c>
      <c r="B170" s="87" t="s">
        <v>1009</v>
      </c>
      <c r="C170" s="108" t="s">
        <v>960</v>
      </c>
      <c r="D170" s="107" t="s">
        <v>867</v>
      </c>
      <c r="E170" s="107" t="s">
        <v>161</v>
      </c>
      <c r="F170" s="107" t="s">
        <v>868</v>
      </c>
      <c r="G170" s="108" t="s">
        <v>321</v>
      </c>
      <c r="H170" s="108" t="s">
        <v>904</v>
      </c>
      <c r="I170" s="108" t="s">
        <v>905</v>
      </c>
      <c r="J170" s="108" t="s">
        <v>1027</v>
      </c>
      <c r="K170" s="108" t="s">
        <v>1145</v>
      </c>
    </row>
    <row r="171" spans="1:11" ht="15.75" x14ac:dyDescent="0.25">
      <c r="A171" s="87" t="s">
        <v>890</v>
      </c>
      <c r="B171" s="87" t="s">
        <v>1009</v>
      </c>
      <c r="C171" s="108" t="s">
        <v>607</v>
      </c>
      <c r="D171" s="107" t="s">
        <v>240</v>
      </c>
      <c r="E171" s="107" t="s">
        <v>161</v>
      </c>
      <c r="F171" s="107" t="s">
        <v>241</v>
      </c>
      <c r="G171" s="108" t="s">
        <v>321</v>
      </c>
      <c r="H171" s="108" t="s">
        <v>314</v>
      </c>
      <c r="I171" s="108" t="s">
        <v>522</v>
      </c>
      <c r="J171" s="108" t="s">
        <v>1031</v>
      </c>
      <c r="K171" s="108" t="s">
        <v>1152</v>
      </c>
    </row>
    <row r="172" spans="1:11" ht="15.75" x14ac:dyDescent="0.25">
      <c r="A172" s="87" t="s">
        <v>890</v>
      </c>
      <c r="B172" s="87" t="s">
        <v>1009</v>
      </c>
      <c r="C172" s="108" t="s">
        <v>550</v>
      </c>
      <c r="D172" s="107" t="s">
        <v>127</v>
      </c>
      <c r="E172" s="107" t="s">
        <v>128</v>
      </c>
      <c r="F172" s="107" t="s">
        <v>129</v>
      </c>
      <c r="G172" s="108" t="s">
        <v>321</v>
      </c>
      <c r="H172" s="108" t="s">
        <v>262</v>
      </c>
      <c r="I172" s="108" t="s">
        <v>458</v>
      </c>
      <c r="J172" s="108" t="s">
        <v>1021</v>
      </c>
      <c r="K172" s="108" t="s">
        <v>1140</v>
      </c>
    </row>
    <row r="173" spans="1:11" ht="15.75" x14ac:dyDescent="0.25">
      <c r="A173" s="87" t="s">
        <v>890</v>
      </c>
      <c r="B173" s="87" t="s">
        <v>1009</v>
      </c>
      <c r="C173" s="82" t="s">
        <v>553</v>
      </c>
      <c r="D173" s="79" t="s">
        <v>164</v>
      </c>
      <c r="E173" s="79" t="s">
        <v>114</v>
      </c>
      <c r="F173" s="79" t="s">
        <v>166</v>
      </c>
      <c r="G173" s="82" t="s">
        <v>320</v>
      </c>
      <c r="H173" s="82" t="s">
        <v>278</v>
      </c>
      <c r="I173" s="82" t="s">
        <v>480</v>
      </c>
      <c r="J173" s="82" t="s">
        <v>933</v>
      </c>
      <c r="K173" s="82" t="s">
        <v>1076</v>
      </c>
    </row>
    <row r="174" spans="1:11" ht="15.75" x14ac:dyDescent="0.25">
      <c r="A174" s="87" t="s">
        <v>890</v>
      </c>
      <c r="B174" s="87" t="s">
        <v>1009</v>
      </c>
      <c r="C174" s="82" t="s">
        <v>85</v>
      </c>
      <c r="D174" s="79" t="s">
        <v>120</v>
      </c>
      <c r="E174" s="79" t="s">
        <v>114</v>
      </c>
      <c r="F174" s="79" t="s">
        <v>121</v>
      </c>
      <c r="G174" s="82" t="s">
        <v>320</v>
      </c>
      <c r="H174" s="82" t="s">
        <v>259</v>
      </c>
      <c r="I174" s="82" t="s">
        <v>455</v>
      </c>
      <c r="J174" s="82" t="s">
        <v>913</v>
      </c>
      <c r="K174" s="82" t="s">
        <v>1078</v>
      </c>
    </row>
    <row r="175" spans="1:11" ht="15.75" x14ac:dyDescent="0.25">
      <c r="A175" s="87" t="s">
        <v>890</v>
      </c>
      <c r="B175" s="87" t="s">
        <v>1009</v>
      </c>
      <c r="C175" s="82" t="s">
        <v>558</v>
      </c>
      <c r="D175" s="79" t="s">
        <v>159</v>
      </c>
      <c r="E175" s="79" t="s">
        <v>114</v>
      </c>
      <c r="F175" s="79" t="s">
        <v>160</v>
      </c>
      <c r="G175" s="82" t="s">
        <v>320</v>
      </c>
      <c r="H175" s="82" t="s">
        <v>276</v>
      </c>
      <c r="I175" s="82" t="s">
        <v>476</v>
      </c>
      <c r="J175" s="82" t="s">
        <v>929</v>
      </c>
      <c r="K175" s="82" t="s">
        <v>1080</v>
      </c>
    </row>
    <row r="176" spans="1:11" ht="15.75" x14ac:dyDescent="0.25">
      <c r="A176" s="87" t="s">
        <v>890</v>
      </c>
      <c r="B176" s="87" t="s">
        <v>1009</v>
      </c>
      <c r="C176" s="82" t="s">
        <v>563</v>
      </c>
      <c r="D176" s="79" t="s">
        <v>214</v>
      </c>
      <c r="E176" s="79" t="s">
        <v>114</v>
      </c>
      <c r="F176" s="79" t="s">
        <v>215</v>
      </c>
      <c r="G176" s="82" t="s">
        <v>320</v>
      </c>
      <c r="H176" s="82" t="s">
        <v>301</v>
      </c>
      <c r="I176" s="82" t="s">
        <v>507</v>
      </c>
      <c r="J176" s="82" t="s">
        <v>955</v>
      </c>
      <c r="K176" s="82" t="s">
        <v>1083</v>
      </c>
    </row>
    <row r="177" spans="1:11" ht="15.75" x14ac:dyDescent="0.25">
      <c r="A177" s="87" t="s">
        <v>890</v>
      </c>
      <c r="B177" s="87" t="s">
        <v>1009</v>
      </c>
      <c r="C177" s="82" t="s">
        <v>566</v>
      </c>
      <c r="D177" s="79" t="s">
        <v>146</v>
      </c>
      <c r="E177" s="79" t="s">
        <v>114</v>
      </c>
      <c r="F177" s="79" t="s">
        <v>147</v>
      </c>
      <c r="G177" s="82" t="s">
        <v>320</v>
      </c>
      <c r="H177" s="82" t="s">
        <v>270</v>
      </c>
      <c r="I177" s="82" t="s">
        <v>468</v>
      </c>
      <c r="J177" s="82" t="s">
        <v>924</v>
      </c>
      <c r="K177" s="82" t="s">
        <v>1084</v>
      </c>
    </row>
    <row r="178" spans="1:11" ht="15.75" x14ac:dyDescent="0.25">
      <c r="A178" s="87" t="s">
        <v>890</v>
      </c>
      <c r="B178" s="87" t="s">
        <v>1009</v>
      </c>
      <c r="C178" s="82" t="s">
        <v>953</v>
      </c>
      <c r="D178" s="79" t="s">
        <v>863</v>
      </c>
      <c r="E178" s="79" t="s">
        <v>114</v>
      </c>
      <c r="F178" s="79" t="s">
        <v>864</v>
      </c>
      <c r="G178" s="82" t="s">
        <v>320</v>
      </c>
      <c r="H178" s="82" t="s">
        <v>901</v>
      </c>
      <c r="I178" s="82" t="s">
        <v>902</v>
      </c>
      <c r="J178" s="82" t="s">
        <v>954</v>
      </c>
      <c r="K178" s="82" t="s">
        <v>1088</v>
      </c>
    </row>
    <row r="179" spans="1:11" ht="15.75" x14ac:dyDescent="0.25">
      <c r="A179" s="87" t="s">
        <v>890</v>
      </c>
      <c r="B179" s="87" t="s">
        <v>1009</v>
      </c>
      <c r="C179" s="82" t="s">
        <v>575</v>
      </c>
      <c r="D179" s="79" t="s">
        <v>220</v>
      </c>
      <c r="E179" s="79" t="s">
        <v>114</v>
      </c>
      <c r="F179" s="79" t="s">
        <v>221</v>
      </c>
      <c r="G179" s="82" t="s">
        <v>320</v>
      </c>
      <c r="H179" s="82" t="s">
        <v>304</v>
      </c>
      <c r="I179" s="82" t="s">
        <v>510</v>
      </c>
      <c r="J179" s="82" t="s">
        <v>958</v>
      </c>
      <c r="K179" s="82" t="s">
        <v>1093</v>
      </c>
    </row>
    <row r="180" spans="1:11" ht="15.75" x14ac:dyDescent="0.25">
      <c r="A180" s="87" t="s">
        <v>890</v>
      </c>
      <c r="B180" s="87" t="s">
        <v>1009</v>
      </c>
      <c r="C180" s="82" t="s">
        <v>88</v>
      </c>
      <c r="D180" s="79" t="s">
        <v>152</v>
      </c>
      <c r="E180" s="79" t="s">
        <v>114</v>
      </c>
      <c r="F180" s="79" t="s">
        <v>153</v>
      </c>
      <c r="G180" s="82" t="s">
        <v>320</v>
      </c>
      <c r="H180" s="82" t="s">
        <v>273</v>
      </c>
      <c r="I180" s="82" t="s">
        <v>472</v>
      </c>
      <c r="J180" s="82" t="s">
        <v>927</v>
      </c>
      <c r="K180" s="82" t="s">
        <v>1094</v>
      </c>
    </row>
    <row r="181" spans="1:11" ht="15.75" x14ac:dyDescent="0.25">
      <c r="A181" s="87" t="s">
        <v>890</v>
      </c>
      <c r="B181" s="87" t="s">
        <v>1009</v>
      </c>
      <c r="C181" s="82" t="s">
        <v>579</v>
      </c>
      <c r="D181" s="79" t="s">
        <v>208</v>
      </c>
      <c r="E181" s="79" t="s">
        <v>114</v>
      </c>
      <c r="F181" s="79" t="s">
        <v>209</v>
      </c>
      <c r="G181" s="82" t="s">
        <v>320</v>
      </c>
      <c r="H181" s="82" t="s">
        <v>298</v>
      </c>
      <c r="I181" s="82" t="s">
        <v>503</v>
      </c>
      <c r="J181" s="82" t="s">
        <v>951</v>
      </c>
      <c r="K181" s="82" t="s">
        <v>1095</v>
      </c>
    </row>
    <row r="182" spans="1:11" ht="15.75" x14ac:dyDescent="0.25">
      <c r="A182" s="87" t="s">
        <v>890</v>
      </c>
      <c r="B182" s="87" t="s">
        <v>1009</v>
      </c>
      <c r="C182" s="82" t="s">
        <v>582</v>
      </c>
      <c r="D182" s="79" t="s">
        <v>222</v>
      </c>
      <c r="E182" s="79" t="s">
        <v>114</v>
      </c>
      <c r="F182" s="79" t="s">
        <v>223</v>
      </c>
      <c r="G182" s="82" t="s">
        <v>320</v>
      </c>
      <c r="H182" s="82" t="s">
        <v>305</v>
      </c>
      <c r="I182" s="82" t="s">
        <v>511</v>
      </c>
      <c r="J182" s="82" t="s">
        <v>959</v>
      </c>
      <c r="K182" s="82" t="s">
        <v>1096</v>
      </c>
    </row>
    <row r="183" spans="1:11" ht="15.75" x14ac:dyDescent="0.25">
      <c r="A183" s="87" t="s">
        <v>890</v>
      </c>
      <c r="B183" s="87" t="s">
        <v>1009</v>
      </c>
      <c r="C183" s="82" t="s">
        <v>583</v>
      </c>
      <c r="D183" s="79" t="s">
        <v>122</v>
      </c>
      <c r="E183" s="79" t="s">
        <v>114</v>
      </c>
      <c r="F183" s="79" t="s">
        <v>123</v>
      </c>
      <c r="G183" s="82" t="s">
        <v>320</v>
      </c>
      <c r="H183" s="82" t="s">
        <v>260</v>
      </c>
      <c r="I183" s="82" t="s">
        <v>456</v>
      </c>
      <c r="J183" s="82" t="s">
        <v>914</v>
      </c>
      <c r="K183" s="82" t="s">
        <v>1097</v>
      </c>
    </row>
    <row r="184" spans="1:11" ht="15.75" x14ac:dyDescent="0.25">
      <c r="A184" s="87" t="s">
        <v>890</v>
      </c>
      <c r="B184" s="87" t="s">
        <v>1009</v>
      </c>
      <c r="C184" s="82" t="s">
        <v>915</v>
      </c>
      <c r="D184" s="79" t="s">
        <v>851</v>
      </c>
      <c r="E184" s="79" t="s">
        <v>114</v>
      </c>
      <c r="F184" s="79" t="s">
        <v>852</v>
      </c>
      <c r="G184" s="82" t="s">
        <v>320</v>
      </c>
      <c r="H184" s="82" t="s">
        <v>894</v>
      </c>
      <c r="I184" s="82" t="s">
        <v>895</v>
      </c>
      <c r="J184" s="82" t="s">
        <v>916</v>
      </c>
      <c r="K184" s="82" t="s">
        <v>1098</v>
      </c>
    </row>
    <row r="185" spans="1:11" ht="15.75" x14ac:dyDescent="0.25">
      <c r="A185" s="87" t="s">
        <v>890</v>
      </c>
      <c r="B185" s="87" t="s">
        <v>1009</v>
      </c>
      <c r="C185" s="82" t="s">
        <v>586</v>
      </c>
      <c r="D185" s="79" t="s">
        <v>174</v>
      </c>
      <c r="E185" s="79" t="s">
        <v>114</v>
      </c>
      <c r="F185" s="79" t="s">
        <v>175</v>
      </c>
      <c r="G185" s="82" t="s">
        <v>320</v>
      </c>
      <c r="H185" s="82" t="s">
        <v>282</v>
      </c>
      <c r="I185" s="82" t="s">
        <v>485</v>
      </c>
      <c r="J185" s="82" t="s">
        <v>938</v>
      </c>
      <c r="K185" s="82" t="s">
        <v>1100</v>
      </c>
    </row>
    <row r="186" spans="1:11" ht="15.75" x14ac:dyDescent="0.25">
      <c r="A186" s="87" t="s">
        <v>890</v>
      </c>
      <c r="B186" s="87" t="s">
        <v>1009</v>
      </c>
      <c r="C186" s="82" t="s">
        <v>587</v>
      </c>
      <c r="D186" s="79" t="s">
        <v>138</v>
      </c>
      <c r="E186" s="79" t="s">
        <v>114</v>
      </c>
      <c r="F186" s="79" t="s">
        <v>139</v>
      </c>
      <c r="G186" s="82" t="s">
        <v>320</v>
      </c>
      <c r="H186" s="82" t="s">
        <v>267</v>
      </c>
      <c r="I186" s="82" t="s">
        <v>464</v>
      </c>
      <c r="J186" s="82" t="s">
        <v>922</v>
      </c>
      <c r="K186" s="82" t="s">
        <v>1101</v>
      </c>
    </row>
    <row r="187" spans="1:11" ht="15.75" x14ac:dyDescent="0.25">
      <c r="A187" s="87" t="s">
        <v>890</v>
      </c>
      <c r="B187" s="87" t="s">
        <v>1009</v>
      </c>
      <c r="C187" s="82" t="s">
        <v>590</v>
      </c>
      <c r="D187" s="79" t="s">
        <v>202</v>
      </c>
      <c r="E187" s="79" t="s">
        <v>114</v>
      </c>
      <c r="F187" s="79" t="s">
        <v>203</v>
      </c>
      <c r="G187" s="82" t="s">
        <v>320</v>
      </c>
      <c r="H187" s="82" t="s">
        <v>295</v>
      </c>
      <c r="I187" s="82" t="s">
        <v>499</v>
      </c>
      <c r="J187" s="82" t="s">
        <v>948</v>
      </c>
      <c r="K187" s="82" t="s">
        <v>1104</v>
      </c>
    </row>
    <row r="188" spans="1:11" ht="15.75" x14ac:dyDescent="0.25">
      <c r="A188" s="87" t="s">
        <v>890</v>
      </c>
      <c r="B188" s="87" t="s">
        <v>1009</v>
      </c>
      <c r="C188" s="82" t="s">
        <v>41</v>
      </c>
      <c r="D188" s="79" t="s">
        <v>150</v>
      </c>
      <c r="E188" s="79" t="s">
        <v>114</v>
      </c>
      <c r="F188" s="79" t="s">
        <v>151</v>
      </c>
      <c r="G188" s="82" t="s">
        <v>320</v>
      </c>
      <c r="H188" s="82" t="s">
        <v>272</v>
      </c>
      <c r="I188" s="82" t="s">
        <v>470</v>
      </c>
      <c r="J188" s="82" t="s">
        <v>926</v>
      </c>
      <c r="K188" s="82" t="s">
        <v>1108</v>
      </c>
    </row>
    <row r="189" spans="1:11" ht="15.75" x14ac:dyDescent="0.25">
      <c r="A189" s="87" t="s">
        <v>890</v>
      </c>
      <c r="B189" s="87" t="s">
        <v>1009</v>
      </c>
      <c r="C189" s="82" t="s">
        <v>593</v>
      </c>
      <c r="D189" s="79" t="s">
        <v>180</v>
      </c>
      <c r="E189" s="79" t="s">
        <v>114</v>
      </c>
      <c r="F189" s="79" t="s">
        <v>181</v>
      </c>
      <c r="G189" s="82" t="s">
        <v>320</v>
      </c>
      <c r="H189" s="82" t="s">
        <v>285</v>
      </c>
      <c r="I189" s="82" t="s">
        <v>488</v>
      </c>
      <c r="J189" s="82" t="s">
        <v>941</v>
      </c>
      <c r="K189" s="82" t="s">
        <v>1109</v>
      </c>
    </row>
    <row r="190" spans="1:11" ht="15.75" x14ac:dyDescent="0.25">
      <c r="A190" s="87" t="s">
        <v>890</v>
      </c>
      <c r="B190" s="87" t="s">
        <v>1009</v>
      </c>
      <c r="C190" s="82" t="s">
        <v>29</v>
      </c>
      <c r="D190" s="79" t="s">
        <v>230</v>
      </c>
      <c r="E190" s="79" t="s">
        <v>114</v>
      </c>
      <c r="F190" s="79" t="s">
        <v>231</v>
      </c>
      <c r="G190" s="82" t="s">
        <v>320</v>
      </c>
      <c r="H190" s="82" t="s">
        <v>309</v>
      </c>
      <c r="I190" s="82" t="s">
        <v>517</v>
      </c>
      <c r="J190" s="82" t="s">
        <v>961</v>
      </c>
      <c r="K190" s="82" t="s">
        <v>1111</v>
      </c>
    </row>
    <row r="191" spans="1:11" ht="15.75" x14ac:dyDescent="0.25">
      <c r="A191" s="87" t="s">
        <v>890</v>
      </c>
      <c r="B191" s="87" t="s">
        <v>1009</v>
      </c>
      <c r="C191" s="82" t="s">
        <v>596</v>
      </c>
      <c r="D191" s="79" t="s">
        <v>212</v>
      </c>
      <c r="E191" s="79" t="s">
        <v>114</v>
      </c>
      <c r="F191" s="79" t="s">
        <v>213</v>
      </c>
      <c r="G191" s="82" t="s">
        <v>320</v>
      </c>
      <c r="H191" s="82" t="s">
        <v>300</v>
      </c>
      <c r="I191" s="82" t="s">
        <v>505</v>
      </c>
      <c r="J191" s="82" t="s">
        <v>952</v>
      </c>
      <c r="K191" s="82" t="s">
        <v>1113</v>
      </c>
    </row>
    <row r="192" spans="1:11" ht="15.75" x14ac:dyDescent="0.25">
      <c r="A192" s="87" t="s">
        <v>890</v>
      </c>
      <c r="B192" s="87" t="s">
        <v>1009</v>
      </c>
      <c r="C192" s="82" t="s">
        <v>598</v>
      </c>
      <c r="D192" s="79" t="s">
        <v>336</v>
      </c>
      <c r="E192" s="79" t="s">
        <v>114</v>
      </c>
      <c r="F192" s="79" t="s">
        <v>337</v>
      </c>
      <c r="G192" s="82" t="s">
        <v>320</v>
      </c>
      <c r="H192" s="82" t="s">
        <v>439</v>
      </c>
      <c r="I192" s="82" t="s">
        <v>461</v>
      </c>
      <c r="J192" s="82" t="s">
        <v>920</v>
      </c>
      <c r="K192" s="82" t="s">
        <v>1115</v>
      </c>
    </row>
    <row r="193" spans="1:11" ht="15.75" x14ac:dyDescent="0.25">
      <c r="A193" s="87" t="s">
        <v>890</v>
      </c>
      <c r="B193" s="87" t="s">
        <v>1009</v>
      </c>
      <c r="C193" s="82" t="s">
        <v>601</v>
      </c>
      <c r="D193" s="79" t="s">
        <v>162</v>
      </c>
      <c r="E193" s="79" t="s">
        <v>114</v>
      </c>
      <c r="F193" s="79" t="s">
        <v>163</v>
      </c>
      <c r="G193" s="82" t="s">
        <v>320</v>
      </c>
      <c r="H193" s="82" t="s">
        <v>277</v>
      </c>
      <c r="I193" s="82" t="s">
        <v>478</v>
      </c>
      <c r="J193" s="82" t="s">
        <v>931</v>
      </c>
      <c r="K193" s="82" t="s">
        <v>1119</v>
      </c>
    </row>
    <row r="194" spans="1:11" ht="15.75" x14ac:dyDescent="0.25">
      <c r="A194" s="87" t="s">
        <v>890</v>
      </c>
      <c r="B194" s="87" t="s">
        <v>1009</v>
      </c>
      <c r="C194" s="82" t="s">
        <v>602</v>
      </c>
      <c r="D194" s="79" t="s">
        <v>176</v>
      </c>
      <c r="E194" s="79" t="s">
        <v>114</v>
      </c>
      <c r="F194" s="79" t="s">
        <v>177</v>
      </c>
      <c r="G194" s="82" t="s">
        <v>320</v>
      </c>
      <c r="H194" s="82" t="s">
        <v>283</v>
      </c>
      <c r="I194" s="82" t="s">
        <v>486</v>
      </c>
      <c r="J194" s="82" t="s">
        <v>939</v>
      </c>
      <c r="K194" s="82" t="s">
        <v>1120</v>
      </c>
    </row>
    <row r="195" spans="1:11" ht="15.75" x14ac:dyDescent="0.25">
      <c r="A195" s="87" t="s">
        <v>890</v>
      </c>
      <c r="B195" s="87" t="s">
        <v>1009</v>
      </c>
      <c r="C195" s="82" t="s">
        <v>38</v>
      </c>
      <c r="D195" s="79" t="s">
        <v>113</v>
      </c>
      <c r="E195" s="79" t="s">
        <v>114</v>
      </c>
      <c r="F195" s="79" t="s">
        <v>116</v>
      </c>
      <c r="G195" s="82" t="s">
        <v>320</v>
      </c>
      <c r="H195" s="82" t="s">
        <v>257</v>
      </c>
      <c r="I195" s="82" t="s">
        <v>453</v>
      </c>
      <c r="J195" s="82" t="s">
        <v>912</v>
      </c>
      <c r="K195" s="82" t="s">
        <v>1121</v>
      </c>
    </row>
    <row r="196" spans="1:11" ht="15.75" x14ac:dyDescent="0.25">
      <c r="A196" s="87" t="s">
        <v>890</v>
      </c>
      <c r="B196" s="87" t="s">
        <v>1009</v>
      </c>
      <c r="C196" s="82" t="s">
        <v>605</v>
      </c>
      <c r="D196" s="79" t="s">
        <v>132</v>
      </c>
      <c r="E196" s="79" t="s">
        <v>114</v>
      </c>
      <c r="F196" s="79" t="s">
        <v>133</v>
      </c>
      <c r="G196" s="82" t="s">
        <v>320</v>
      </c>
      <c r="H196" s="82" t="s">
        <v>264</v>
      </c>
      <c r="I196" s="82" t="s">
        <v>460</v>
      </c>
      <c r="J196" s="82" t="s">
        <v>919</v>
      </c>
      <c r="K196" s="82" t="s">
        <v>1123</v>
      </c>
    </row>
    <row r="197" spans="1:11" ht="15.75" x14ac:dyDescent="0.25">
      <c r="A197" s="87" t="s">
        <v>890</v>
      </c>
      <c r="B197" s="87" t="s">
        <v>1009</v>
      </c>
      <c r="C197" s="82" t="s">
        <v>557</v>
      </c>
      <c r="D197" s="79" t="s">
        <v>189</v>
      </c>
      <c r="E197" s="79" t="s">
        <v>125</v>
      </c>
      <c r="F197" s="79" t="s">
        <v>190</v>
      </c>
      <c r="G197" s="82" t="s">
        <v>320</v>
      </c>
      <c r="H197" s="82" t="s">
        <v>289</v>
      </c>
      <c r="I197" s="82" t="s">
        <v>492</v>
      </c>
      <c r="J197" s="82" t="s">
        <v>943</v>
      </c>
      <c r="K197" s="82" t="s">
        <v>1079</v>
      </c>
    </row>
    <row r="198" spans="1:11" ht="15.75" x14ac:dyDescent="0.25">
      <c r="A198" s="87" t="s">
        <v>890</v>
      </c>
      <c r="B198" s="87" t="s">
        <v>1009</v>
      </c>
      <c r="C198" s="82" t="s">
        <v>559</v>
      </c>
      <c r="D198" s="79" t="s">
        <v>182</v>
      </c>
      <c r="E198" s="79" t="s">
        <v>125</v>
      </c>
      <c r="F198" s="79" t="s">
        <v>183</v>
      </c>
      <c r="G198" s="82" t="s">
        <v>320</v>
      </c>
      <c r="H198" s="82" t="s">
        <v>286</v>
      </c>
      <c r="I198" s="82" t="s">
        <v>489</v>
      </c>
      <c r="J198" s="82" t="s">
        <v>942</v>
      </c>
      <c r="K198" s="82" t="s">
        <v>1081</v>
      </c>
    </row>
    <row r="199" spans="1:11" ht="15.75" x14ac:dyDescent="0.25">
      <c r="A199" s="87" t="s">
        <v>890</v>
      </c>
      <c r="B199" s="87" t="s">
        <v>1009</v>
      </c>
      <c r="C199" s="82" t="s">
        <v>561</v>
      </c>
      <c r="D199" s="79" t="s">
        <v>130</v>
      </c>
      <c r="E199" s="79" t="s">
        <v>125</v>
      </c>
      <c r="F199" s="79" t="s">
        <v>131</v>
      </c>
      <c r="G199" s="82" t="s">
        <v>320</v>
      </c>
      <c r="H199" s="82" t="s">
        <v>263</v>
      </c>
      <c r="I199" s="82" t="s">
        <v>459</v>
      </c>
      <c r="J199" s="82" t="s">
        <v>918</v>
      </c>
      <c r="K199" s="82" t="s">
        <v>1082</v>
      </c>
    </row>
    <row r="200" spans="1:11" ht="15.75" x14ac:dyDescent="0.25">
      <c r="A200" s="87" t="s">
        <v>890</v>
      </c>
      <c r="B200" s="87" t="s">
        <v>1009</v>
      </c>
      <c r="C200" s="82" t="s">
        <v>567</v>
      </c>
      <c r="D200" s="79" t="s">
        <v>198</v>
      </c>
      <c r="E200" s="79" t="s">
        <v>125</v>
      </c>
      <c r="F200" s="79" t="s">
        <v>199</v>
      </c>
      <c r="G200" s="82" t="s">
        <v>320</v>
      </c>
      <c r="H200" s="82" t="s">
        <v>293</v>
      </c>
      <c r="I200" s="82" t="s">
        <v>496</v>
      </c>
      <c r="J200" s="82" t="s">
        <v>945</v>
      </c>
      <c r="K200" s="82" t="s">
        <v>1085</v>
      </c>
    </row>
    <row r="201" spans="1:11" ht="15.75" x14ac:dyDescent="0.25">
      <c r="A201" s="87" t="s">
        <v>890</v>
      </c>
      <c r="B201" s="87" t="s">
        <v>1009</v>
      </c>
      <c r="C201" s="82" t="s">
        <v>59</v>
      </c>
      <c r="D201" s="79" t="s">
        <v>134</v>
      </c>
      <c r="E201" s="79" t="s">
        <v>125</v>
      </c>
      <c r="F201" s="79" t="s">
        <v>135</v>
      </c>
      <c r="G201" s="82" t="s">
        <v>320</v>
      </c>
      <c r="H201" s="82" t="s">
        <v>265</v>
      </c>
      <c r="I201" s="82" t="s">
        <v>462</v>
      </c>
      <c r="J201" s="82" t="s">
        <v>921</v>
      </c>
      <c r="K201" s="82" t="s">
        <v>1089</v>
      </c>
    </row>
    <row r="202" spans="1:11" ht="15.75" x14ac:dyDescent="0.25">
      <c r="A202" s="87" t="s">
        <v>890</v>
      </c>
      <c r="B202" s="87" t="s">
        <v>1009</v>
      </c>
      <c r="C202" s="82" t="s">
        <v>571</v>
      </c>
      <c r="D202" s="79" t="s">
        <v>356</v>
      </c>
      <c r="E202" s="79" t="s">
        <v>125</v>
      </c>
      <c r="F202" s="79" t="s">
        <v>357</v>
      </c>
      <c r="G202" s="82" t="s">
        <v>320</v>
      </c>
      <c r="H202" s="82" t="s">
        <v>442</v>
      </c>
      <c r="I202" s="82" t="s">
        <v>475</v>
      </c>
      <c r="J202" s="82" t="s">
        <v>928</v>
      </c>
      <c r="K202" s="82" t="s">
        <v>1090</v>
      </c>
    </row>
    <row r="203" spans="1:11" ht="15.75" x14ac:dyDescent="0.25">
      <c r="A203" s="87" t="s">
        <v>890</v>
      </c>
      <c r="B203" s="87" t="s">
        <v>1009</v>
      </c>
      <c r="C203" s="82" t="s">
        <v>572</v>
      </c>
      <c r="D203" s="79" t="s">
        <v>191</v>
      </c>
      <c r="E203" s="79" t="s">
        <v>125</v>
      </c>
      <c r="F203" s="79" t="s">
        <v>192</v>
      </c>
      <c r="G203" s="82" t="s">
        <v>320</v>
      </c>
      <c r="H203" s="82" t="s">
        <v>290</v>
      </c>
      <c r="I203" s="82" t="s">
        <v>493</v>
      </c>
      <c r="J203" s="82" t="s">
        <v>944</v>
      </c>
      <c r="K203" s="82" t="s">
        <v>1091</v>
      </c>
    </row>
    <row r="204" spans="1:11" ht="15.75" x14ac:dyDescent="0.25">
      <c r="A204" s="87" t="s">
        <v>890</v>
      </c>
      <c r="B204" s="87" t="s">
        <v>1009</v>
      </c>
      <c r="C204" s="82" t="s">
        <v>588</v>
      </c>
      <c r="D204" s="79" t="s">
        <v>232</v>
      </c>
      <c r="E204" s="79" t="s">
        <v>125</v>
      </c>
      <c r="F204" s="79" t="s">
        <v>233</v>
      </c>
      <c r="G204" s="82" t="s">
        <v>320</v>
      </c>
      <c r="H204" s="82" t="s">
        <v>310</v>
      </c>
      <c r="I204" s="82" t="s">
        <v>518</v>
      </c>
      <c r="J204" s="82" t="s">
        <v>962</v>
      </c>
      <c r="K204" s="82" t="s">
        <v>1102</v>
      </c>
    </row>
    <row r="205" spans="1:11" ht="15.75" x14ac:dyDescent="0.25">
      <c r="A205" s="87" t="s">
        <v>890</v>
      </c>
      <c r="B205" s="87" t="s">
        <v>1009</v>
      </c>
      <c r="C205" s="82" t="s">
        <v>589</v>
      </c>
      <c r="D205" s="79" t="s">
        <v>172</v>
      </c>
      <c r="E205" s="79" t="s">
        <v>125</v>
      </c>
      <c r="F205" s="79" t="s">
        <v>173</v>
      </c>
      <c r="G205" s="82" t="s">
        <v>320</v>
      </c>
      <c r="H205" s="82" t="s">
        <v>281</v>
      </c>
      <c r="I205" s="82" t="s">
        <v>484</v>
      </c>
      <c r="J205" s="82" t="s">
        <v>937</v>
      </c>
      <c r="K205" s="82" t="s">
        <v>1103</v>
      </c>
    </row>
    <row r="206" spans="1:11" ht="15.75" x14ac:dyDescent="0.25">
      <c r="A206" s="87" t="s">
        <v>890</v>
      </c>
      <c r="B206" s="87" t="s">
        <v>1009</v>
      </c>
      <c r="C206" s="82" t="s">
        <v>69</v>
      </c>
      <c r="D206" s="79" t="s">
        <v>124</v>
      </c>
      <c r="E206" s="79" t="s">
        <v>125</v>
      </c>
      <c r="F206" s="79" t="s">
        <v>126</v>
      </c>
      <c r="G206" s="82" t="s">
        <v>320</v>
      </c>
      <c r="H206" s="82" t="s">
        <v>261</v>
      </c>
      <c r="I206" s="82" t="s">
        <v>457</v>
      </c>
      <c r="J206" s="82" t="s">
        <v>917</v>
      </c>
      <c r="K206" s="82" t="s">
        <v>1105</v>
      </c>
    </row>
    <row r="207" spans="1:11" ht="15.75" x14ac:dyDescent="0.25">
      <c r="A207" s="87" t="s">
        <v>890</v>
      </c>
      <c r="B207" s="87" t="s">
        <v>1009</v>
      </c>
      <c r="C207" s="82" t="s">
        <v>64</v>
      </c>
      <c r="D207" s="79" t="s">
        <v>242</v>
      </c>
      <c r="E207" s="79" t="s">
        <v>125</v>
      </c>
      <c r="F207" s="79" t="s">
        <v>243</v>
      </c>
      <c r="G207" s="82" t="s">
        <v>320</v>
      </c>
      <c r="H207" s="82" t="s">
        <v>315</v>
      </c>
      <c r="I207" s="82" t="s">
        <v>523</v>
      </c>
      <c r="J207" s="82" t="s">
        <v>964</v>
      </c>
      <c r="K207" s="82" t="s">
        <v>1106</v>
      </c>
    </row>
    <row r="208" spans="1:11" ht="15.75" x14ac:dyDescent="0.25">
      <c r="A208" s="87" t="s">
        <v>890</v>
      </c>
      <c r="B208" s="87" t="s">
        <v>1009</v>
      </c>
      <c r="C208" s="82" t="s">
        <v>76</v>
      </c>
      <c r="D208" s="79" t="s">
        <v>178</v>
      </c>
      <c r="E208" s="79" t="s">
        <v>125</v>
      </c>
      <c r="F208" s="79" t="s">
        <v>179</v>
      </c>
      <c r="G208" s="82" t="s">
        <v>320</v>
      </c>
      <c r="H208" s="82" t="s">
        <v>284</v>
      </c>
      <c r="I208" s="82" t="s">
        <v>487</v>
      </c>
      <c r="J208" s="82" t="s">
        <v>940</v>
      </c>
      <c r="K208" s="82" t="s">
        <v>1116</v>
      </c>
    </row>
    <row r="209" spans="1:11" ht="15.75" x14ac:dyDescent="0.25">
      <c r="A209" s="87" t="s">
        <v>890</v>
      </c>
      <c r="B209" s="87" t="s">
        <v>1009</v>
      </c>
      <c r="C209" s="82" t="s">
        <v>956</v>
      </c>
      <c r="D209" s="79" t="s">
        <v>866</v>
      </c>
      <c r="E209" s="79" t="s">
        <v>125</v>
      </c>
      <c r="F209" s="79" t="s">
        <v>217</v>
      </c>
      <c r="G209" s="82" t="s">
        <v>320</v>
      </c>
      <c r="H209" s="82" t="s">
        <v>302</v>
      </c>
      <c r="I209" s="82" t="s">
        <v>903</v>
      </c>
      <c r="J209" s="82" t="s">
        <v>957</v>
      </c>
      <c r="K209" s="82" t="s">
        <v>1118</v>
      </c>
    </row>
    <row r="210" spans="1:11" ht="15.75" x14ac:dyDescent="0.25">
      <c r="A210" s="87" t="s">
        <v>890</v>
      </c>
      <c r="B210" s="87" t="s">
        <v>1009</v>
      </c>
      <c r="C210" s="82" t="s">
        <v>555</v>
      </c>
      <c r="D210" s="79" t="s">
        <v>368</v>
      </c>
      <c r="E210" s="79" t="s">
        <v>165</v>
      </c>
      <c r="F210" s="79" t="s">
        <v>369</v>
      </c>
      <c r="G210" s="82" t="s">
        <v>320</v>
      </c>
      <c r="H210" s="82" t="s">
        <v>445</v>
      </c>
      <c r="I210" s="82" t="s">
        <v>481</v>
      </c>
      <c r="J210" s="82" t="s">
        <v>935</v>
      </c>
      <c r="K210" s="82" t="s">
        <v>1077</v>
      </c>
    </row>
    <row r="211" spans="1:11" ht="15.75" x14ac:dyDescent="0.25">
      <c r="A211" s="87" t="s">
        <v>890</v>
      </c>
      <c r="B211" s="87" t="s">
        <v>1009</v>
      </c>
      <c r="C211" s="82" t="s">
        <v>592</v>
      </c>
      <c r="D211" s="79" t="s">
        <v>206</v>
      </c>
      <c r="E211" s="79" t="s">
        <v>165</v>
      </c>
      <c r="F211" s="79" t="s">
        <v>207</v>
      </c>
      <c r="G211" s="82" t="s">
        <v>320</v>
      </c>
      <c r="H211" s="82" t="s">
        <v>297</v>
      </c>
      <c r="I211" s="82" t="s">
        <v>502</v>
      </c>
      <c r="J211" s="82" t="s">
        <v>950</v>
      </c>
      <c r="K211" s="82" t="s">
        <v>1107</v>
      </c>
    </row>
    <row r="212" spans="1:11" ht="15.75" x14ac:dyDescent="0.25">
      <c r="A212" s="87" t="s">
        <v>890</v>
      </c>
      <c r="B212" s="87" t="s">
        <v>1009</v>
      </c>
      <c r="C212" s="82" t="s">
        <v>595</v>
      </c>
      <c r="D212" s="79" t="s">
        <v>360</v>
      </c>
      <c r="E212" s="79" t="s">
        <v>165</v>
      </c>
      <c r="F212" s="79" t="s">
        <v>361</v>
      </c>
      <c r="G212" s="82" t="s">
        <v>320</v>
      </c>
      <c r="H212" s="82" t="s">
        <v>443</v>
      </c>
      <c r="I212" s="82" t="s">
        <v>477</v>
      </c>
      <c r="J212" s="82" t="s">
        <v>930</v>
      </c>
      <c r="K212" s="82" t="s">
        <v>1112</v>
      </c>
    </row>
    <row r="213" spans="1:11" ht="15.75" x14ac:dyDescent="0.25">
      <c r="A213" s="87" t="s">
        <v>890</v>
      </c>
      <c r="B213" s="87" t="s">
        <v>1009</v>
      </c>
      <c r="C213" s="82" t="s">
        <v>597</v>
      </c>
      <c r="D213" s="79" t="s">
        <v>432</v>
      </c>
      <c r="E213" s="79" t="s">
        <v>165</v>
      </c>
      <c r="F213" s="79" t="s">
        <v>433</v>
      </c>
      <c r="G213" s="82" t="s">
        <v>320</v>
      </c>
      <c r="H213" s="82" t="s">
        <v>452</v>
      </c>
      <c r="I213" s="82" t="s">
        <v>524</v>
      </c>
      <c r="J213" s="82" t="s">
        <v>965</v>
      </c>
      <c r="K213" s="82" t="s">
        <v>1114</v>
      </c>
    </row>
    <row r="214" spans="1:11" ht="15.75" x14ac:dyDescent="0.25">
      <c r="A214" s="87" t="s">
        <v>890</v>
      </c>
      <c r="B214" s="87" t="s">
        <v>1009</v>
      </c>
      <c r="C214" s="82" t="s">
        <v>568</v>
      </c>
      <c r="D214" s="79" t="s">
        <v>170</v>
      </c>
      <c r="E214" s="79" t="s">
        <v>144</v>
      </c>
      <c r="F214" s="79" t="s">
        <v>171</v>
      </c>
      <c r="G214" s="82" t="s">
        <v>320</v>
      </c>
      <c r="H214" s="82" t="s">
        <v>280</v>
      </c>
      <c r="I214" s="82" t="s">
        <v>483</v>
      </c>
      <c r="J214" s="82" t="s">
        <v>936</v>
      </c>
      <c r="K214" s="82" t="s">
        <v>1086</v>
      </c>
    </row>
    <row r="215" spans="1:11" ht="15.75" x14ac:dyDescent="0.25">
      <c r="A215" s="87" t="s">
        <v>890</v>
      </c>
      <c r="B215" s="87" t="s">
        <v>1009</v>
      </c>
      <c r="C215" s="82" t="s">
        <v>569</v>
      </c>
      <c r="D215" s="79" t="s">
        <v>246</v>
      </c>
      <c r="E215" s="79" t="s">
        <v>144</v>
      </c>
      <c r="F215" s="79" t="s">
        <v>247</v>
      </c>
      <c r="G215" s="82" t="s">
        <v>320</v>
      </c>
      <c r="H215" s="82" t="s">
        <v>317</v>
      </c>
      <c r="I215" s="82" t="s">
        <v>526</v>
      </c>
      <c r="J215" s="82" t="s">
        <v>966</v>
      </c>
      <c r="K215" s="82" t="s">
        <v>1087</v>
      </c>
    </row>
    <row r="216" spans="1:11" ht="15.75" x14ac:dyDescent="0.25">
      <c r="A216" s="87" t="s">
        <v>890</v>
      </c>
      <c r="B216" s="87" t="s">
        <v>1009</v>
      </c>
      <c r="C216" s="82" t="s">
        <v>584</v>
      </c>
      <c r="D216" s="79" t="s">
        <v>364</v>
      </c>
      <c r="E216" s="79" t="s">
        <v>144</v>
      </c>
      <c r="F216" s="79" t="s">
        <v>365</v>
      </c>
      <c r="G216" s="82" t="s">
        <v>320</v>
      </c>
      <c r="H216" s="82" t="s">
        <v>444</v>
      </c>
      <c r="I216" s="82" t="s">
        <v>479</v>
      </c>
      <c r="J216" s="82" t="s">
        <v>932</v>
      </c>
      <c r="K216" s="82" t="s">
        <v>1099</v>
      </c>
    </row>
    <row r="217" spans="1:11" ht="15.75" x14ac:dyDescent="0.25">
      <c r="A217" s="87" t="s">
        <v>890</v>
      </c>
      <c r="B217" s="87" t="s">
        <v>1009</v>
      </c>
      <c r="C217" s="82" t="s">
        <v>946</v>
      </c>
      <c r="D217" s="79" t="s">
        <v>860</v>
      </c>
      <c r="E217" s="79" t="s">
        <v>144</v>
      </c>
      <c r="F217" s="79" t="s">
        <v>861</v>
      </c>
      <c r="G217" s="82" t="s">
        <v>320</v>
      </c>
      <c r="H217" s="82" t="s">
        <v>899</v>
      </c>
      <c r="I217" s="82" t="s">
        <v>900</v>
      </c>
      <c r="J217" s="82" t="s">
        <v>947</v>
      </c>
      <c r="K217" s="82" t="s">
        <v>1110</v>
      </c>
    </row>
    <row r="218" spans="1:11" ht="15.75" x14ac:dyDescent="0.25">
      <c r="A218" s="87" t="s">
        <v>890</v>
      </c>
      <c r="B218" s="87" t="s">
        <v>1009</v>
      </c>
      <c r="C218" s="82" t="s">
        <v>62</v>
      </c>
      <c r="D218" s="79" t="s">
        <v>143</v>
      </c>
      <c r="E218" s="79" t="s">
        <v>144</v>
      </c>
      <c r="F218" s="79" t="s">
        <v>145</v>
      </c>
      <c r="G218" s="82" t="s">
        <v>320</v>
      </c>
      <c r="H218" s="82" t="s">
        <v>269</v>
      </c>
      <c r="I218" s="82" t="s">
        <v>467</v>
      </c>
      <c r="J218" s="82" t="s">
        <v>923</v>
      </c>
      <c r="K218" s="82" t="s">
        <v>1117</v>
      </c>
    </row>
    <row r="219" spans="1:11" ht="15.75" x14ac:dyDescent="0.25">
      <c r="A219" s="87" t="s">
        <v>890</v>
      </c>
      <c r="B219" s="87" t="s">
        <v>1009</v>
      </c>
      <c r="C219" s="82" t="s">
        <v>604</v>
      </c>
      <c r="D219" s="79" t="s">
        <v>148</v>
      </c>
      <c r="E219" s="79" t="s">
        <v>144</v>
      </c>
      <c r="F219" s="79" t="s">
        <v>149</v>
      </c>
      <c r="G219" s="82" t="s">
        <v>320</v>
      </c>
      <c r="H219" s="82" t="s">
        <v>271</v>
      </c>
      <c r="I219" s="82" t="s">
        <v>469</v>
      </c>
      <c r="J219" s="82" t="s">
        <v>925</v>
      </c>
      <c r="K219" s="82" t="s">
        <v>1122</v>
      </c>
    </row>
    <row r="220" spans="1:11" ht="15.75" x14ac:dyDescent="0.25">
      <c r="A220" s="87" t="s">
        <v>890</v>
      </c>
      <c r="B220" s="87" t="s">
        <v>1009</v>
      </c>
      <c r="C220" s="82" t="s">
        <v>574</v>
      </c>
      <c r="D220" s="79" t="s">
        <v>397</v>
      </c>
      <c r="E220" s="79" t="s">
        <v>398</v>
      </c>
      <c r="F220" s="79" t="s">
        <v>399</v>
      </c>
      <c r="G220" s="82" t="s">
        <v>320</v>
      </c>
      <c r="H220" s="82" t="s">
        <v>448</v>
      </c>
      <c r="I220" s="82" t="s">
        <v>500</v>
      </c>
      <c r="J220" s="82" t="s">
        <v>949</v>
      </c>
      <c r="K220" s="82" t="s">
        <v>1092</v>
      </c>
    </row>
    <row r="221" spans="1:11" ht="15.75" x14ac:dyDescent="0.25">
      <c r="A221" s="87" t="s">
        <v>890</v>
      </c>
      <c r="B221" s="87" t="s">
        <v>1009</v>
      </c>
      <c r="C221" s="108" t="s">
        <v>570</v>
      </c>
      <c r="D221" s="107" t="s">
        <v>420</v>
      </c>
      <c r="E221" s="107" t="s">
        <v>421</v>
      </c>
      <c r="F221" s="107" t="s">
        <v>422</v>
      </c>
      <c r="G221" s="108" t="s">
        <v>321</v>
      </c>
      <c r="H221" s="108" t="s">
        <v>451</v>
      </c>
      <c r="I221" s="108" t="s">
        <v>516</v>
      </c>
      <c r="J221" s="108" t="s">
        <v>1029</v>
      </c>
      <c r="K221" s="108" t="s">
        <v>1146</v>
      </c>
    </row>
    <row r="222" spans="1:11" ht="15.75" x14ac:dyDescent="0.25">
      <c r="A222" s="87" t="s">
        <v>890</v>
      </c>
      <c r="B222" s="87" t="s">
        <v>1009</v>
      </c>
      <c r="C222" s="108" t="s">
        <v>573</v>
      </c>
      <c r="D222" s="107" t="s">
        <v>392</v>
      </c>
      <c r="E222" s="107" t="s">
        <v>393</v>
      </c>
      <c r="F222" s="107" t="s">
        <v>394</v>
      </c>
      <c r="G222" s="108" t="s">
        <v>321</v>
      </c>
      <c r="H222" s="108" t="s">
        <v>447</v>
      </c>
      <c r="I222" s="108" t="s">
        <v>498</v>
      </c>
      <c r="J222" s="108" t="s">
        <v>1026</v>
      </c>
      <c r="K222" s="108" t="s">
        <v>1147</v>
      </c>
    </row>
    <row r="223" spans="1:11" ht="15.75" x14ac:dyDescent="0.25">
      <c r="A223" s="87" t="s">
        <v>890</v>
      </c>
      <c r="B223" s="87" t="s">
        <v>1009</v>
      </c>
      <c r="C223" s="108" t="s">
        <v>580</v>
      </c>
      <c r="D223" s="107" t="s">
        <v>117</v>
      </c>
      <c r="E223" s="107" t="s">
        <v>118</v>
      </c>
      <c r="F223" s="107" t="s">
        <v>119</v>
      </c>
      <c r="G223" s="108" t="s">
        <v>321</v>
      </c>
      <c r="H223" s="108" t="s">
        <v>258</v>
      </c>
      <c r="I223" s="108" t="s">
        <v>454</v>
      </c>
      <c r="J223" s="108" t="s">
        <v>1020</v>
      </c>
      <c r="K223" s="108" t="s">
        <v>1148</v>
      </c>
    </row>
    <row r="224" spans="1:11" ht="15.75" x14ac:dyDescent="0.25">
      <c r="A224" s="87" t="s">
        <v>890</v>
      </c>
      <c r="B224" s="87" t="s">
        <v>1009</v>
      </c>
      <c r="C224" s="108" t="s">
        <v>564</v>
      </c>
      <c r="D224" s="107" t="s">
        <v>858</v>
      </c>
      <c r="E224" s="107" t="s">
        <v>185</v>
      </c>
      <c r="F224" s="107" t="s">
        <v>186</v>
      </c>
      <c r="G224" s="108" t="s">
        <v>321</v>
      </c>
      <c r="H224" s="108" t="s">
        <v>287</v>
      </c>
      <c r="I224" s="108" t="s">
        <v>490</v>
      </c>
      <c r="J224" s="108" t="s">
        <v>1024</v>
      </c>
      <c r="K224" s="108" t="s">
        <v>1144</v>
      </c>
    </row>
    <row r="225" spans="1:11" ht="15.75" x14ac:dyDescent="0.25">
      <c r="A225" s="87" t="s">
        <v>890</v>
      </c>
      <c r="B225" s="87" t="s">
        <v>1009</v>
      </c>
      <c r="C225" s="108" t="s">
        <v>594</v>
      </c>
      <c r="D225" s="107" t="s">
        <v>873</v>
      </c>
      <c r="E225" s="107" t="s">
        <v>194</v>
      </c>
      <c r="F225" s="107" t="s">
        <v>239</v>
      </c>
      <c r="G225" s="108" t="s">
        <v>321</v>
      </c>
      <c r="H225" s="108" t="s">
        <v>313</v>
      </c>
      <c r="I225" s="108" t="s">
        <v>521</v>
      </c>
      <c r="J225" s="108" t="s">
        <v>1030</v>
      </c>
      <c r="K225" s="108" t="s">
        <v>1150</v>
      </c>
    </row>
    <row r="226" spans="1:11" ht="15.75" x14ac:dyDescent="0.25">
      <c r="A226" s="87" t="s">
        <v>890</v>
      </c>
      <c r="B226" s="87" t="s">
        <v>1009</v>
      </c>
      <c r="C226" s="108" t="s">
        <v>79</v>
      </c>
      <c r="D226" s="107" t="s">
        <v>343</v>
      </c>
      <c r="E226" s="107" t="s">
        <v>194</v>
      </c>
      <c r="F226" s="107" t="s">
        <v>344</v>
      </c>
      <c r="G226" s="108" t="s">
        <v>321</v>
      </c>
      <c r="H226" s="108" t="s">
        <v>440</v>
      </c>
      <c r="I226" s="108" t="s">
        <v>466</v>
      </c>
      <c r="J226" s="108" t="s">
        <v>1022</v>
      </c>
      <c r="K226" s="108" t="s">
        <v>1151</v>
      </c>
    </row>
    <row r="227" spans="1:11" ht="28.5" x14ac:dyDescent="0.25">
      <c r="A227" s="87" t="s">
        <v>890</v>
      </c>
      <c r="B227" s="87" t="s">
        <v>1009</v>
      </c>
      <c r="C227" s="108" t="s">
        <v>53</v>
      </c>
      <c r="D227" s="107" t="s">
        <v>250</v>
      </c>
      <c r="E227" s="107" t="s">
        <v>251</v>
      </c>
      <c r="F227" s="107" t="s">
        <v>252</v>
      </c>
      <c r="G227" s="108" t="s">
        <v>321</v>
      </c>
      <c r="H227" s="108" t="s">
        <v>319</v>
      </c>
      <c r="I227" s="108" t="s">
        <v>528</v>
      </c>
      <c r="J227" s="108" t="s">
        <v>1032</v>
      </c>
      <c r="K227" s="108" t="s">
        <v>1143</v>
      </c>
    </row>
    <row r="228" spans="1:11" ht="15.75" x14ac:dyDescent="0.25">
      <c r="A228" s="87" t="s">
        <v>890</v>
      </c>
      <c r="B228" s="87" t="s">
        <v>1009</v>
      </c>
      <c r="C228" s="108" t="s">
        <v>556</v>
      </c>
      <c r="D228" s="107" t="s">
        <v>193</v>
      </c>
      <c r="E228" s="107" t="s">
        <v>383</v>
      </c>
      <c r="F228" s="107" t="s">
        <v>195</v>
      </c>
      <c r="G228" s="108" t="s">
        <v>321</v>
      </c>
      <c r="H228" s="108" t="s">
        <v>291</v>
      </c>
      <c r="I228" s="108" t="s">
        <v>494</v>
      </c>
      <c r="J228" s="108" t="s">
        <v>1025</v>
      </c>
      <c r="K228" s="108" t="s">
        <v>1142</v>
      </c>
    </row>
    <row r="229" spans="1:11" ht="15.75" x14ac:dyDescent="0.25">
      <c r="A229" s="87" t="s">
        <v>890</v>
      </c>
      <c r="B229" s="87" t="s">
        <v>1009</v>
      </c>
      <c r="C229" s="108" t="s">
        <v>581</v>
      </c>
      <c r="D229" s="107" t="s">
        <v>857</v>
      </c>
      <c r="E229" s="107" t="s">
        <v>168</v>
      </c>
      <c r="F229" s="107" t="s">
        <v>169</v>
      </c>
      <c r="G229" s="108" t="s">
        <v>321</v>
      </c>
      <c r="H229" s="108" t="s">
        <v>279</v>
      </c>
      <c r="I229" s="108" t="s">
        <v>482</v>
      </c>
      <c r="J229" s="108" t="s">
        <v>1023</v>
      </c>
      <c r="K229" s="108" t="s">
        <v>1149</v>
      </c>
    </row>
    <row r="230" spans="1:11" ht="15.75" x14ac:dyDescent="0.25">
      <c r="A230" s="85"/>
      <c r="B230" s="85"/>
      <c r="C230" s="85"/>
      <c r="D230" s="85"/>
      <c r="E230" s="85"/>
      <c r="F230" s="85"/>
      <c r="G230" s="85"/>
      <c r="H230" s="85"/>
      <c r="I230" s="85"/>
      <c r="J230" s="85"/>
      <c r="K230" s="85"/>
    </row>
    <row r="231" spans="1:11" ht="15.75" x14ac:dyDescent="0.25">
      <c r="A231" s="90"/>
      <c r="B231" s="90"/>
      <c r="C231" s="90"/>
      <c r="D231" s="160" t="s">
        <v>1154</v>
      </c>
      <c r="E231" s="92" t="s">
        <v>1008</v>
      </c>
      <c r="F231" s="93" t="s">
        <v>1009</v>
      </c>
      <c r="G231" s="94" t="s">
        <v>884</v>
      </c>
      <c r="H231" s="95" t="s">
        <v>1010</v>
      </c>
      <c r="I231" s="96" t="s">
        <v>635</v>
      </c>
      <c r="J231" s="97" t="s">
        <v>634</v>
      </c>
      <c r="K231" s="90"/>
    </row>
    <row r="232" spans="1:11" ht="15.75" x14ac:dyDescent="0.25">
      <c r="A232" s="90"/>
      <c r="B232" s="90"/>
      <c r="C232" s="106" t="s">
        <v>1037</v>
      </c>
      <c r="D232" s="160">
        <f>COUNTIF(G239:G251,"T")</f>
        <v>0</v>
      </c>
      <c r="E232" s="92">
        <f>COUNTIF(B239:B251,E231)</f>
        <v>0</v>
      </c>
      <c r="F232" s="93">
        <f>COUNTIF(B239:B251,F231)</f>
        <v>13</v>
      </c>
      <c r="G232" s="94">
        <f>COUNTIF(B239:B251,G231)</f>
        <v>0</v>
      </c>
      <c r="H232" s="95">
        <f>COUNTIF(B239:B251,H231)</f>
        <v>0</v>
      </c>
      <c r="I232" s="96">
        <f>SUM(E232:H232)</f>
        <v>13</v>
      </c>
      <c r="J232" s="150">
        <f>COUNTIF(D234:D236,"")</f>
        <v>3</v>
      </c>
      <c r="K232" s="90"/>
    </row>
    <row r="233" spans="1:11" ht="15.75" x14ac:dyDescent="0.25">
      <c r="A233" s="90"/>
      <c r="B233" s="90"/>
      <c r="C233" s="98" t="s">
        <v>631</v>
      </c>
      <c r="D233" s="98" t="s">
        <v>529</v>
      </c>
      <c r="E233" s="98" t="s">
        <v>107</v>
      </c>
      <c r="F233" s="124" t="s">
        <v>804</v>
      </c>
      <c r="G233" s="125"/>
      <c r="H233" s="125"/>
      <c r="I233" s="125"/>
      <c r="J233" s="126"/>
      <c r="K233" s="90"/>
    </row>
    <row r="234" spans="1:11" ht="15.75" x14ac:dyDescent="0.25">
      <c r="A234" s="90"/>
      <c r="B234" s="90"/>
      <c r="C234" s="87">
        <v>1</v>
      </c>
      <c r="D234" s="87"/>
      <c r="E234" s="87"/>
      <c r="F234" s="113"/>
      <c r="G234" s="114"/>
      <c r="H234" s="114"/>
      <c r="I234" s="114"/>
      <c r="J234" s="115"/>
      <c r="K234" s="90"/>
    </row>
    <row r="235" spans="1:11" ht="15.75" x14ac:dyDescent="0.25">
      <c r="A235" s="90"/>
      <c r="B235" s="90"/>
      <c r="C235" s="87">
        <v>2</v>
      </c>
      <c r="D235" s="87"/>
      <c r="E235" s="87"/>
      <c r="F235" s="113"/>
      <c r="G235" s="114"/>
      <c r="H235" s="114"/>
      <c r="I235" s="114"/>
      <c r="J235" s="115"/>
      <c r="K235" s="90"/>
    </row>
    <row r="236" spans="1:11" ht="15.75" x14ac:dyDescent="0.25">
      <c r="A236" s="90"/>
      <c r="B236" s="90"/>
      <c r="C236" s="87">
        <v>3</v>
      </c>
      <c r="D236" s="87"/>
      <c r="E236" s="87"/>
      <c r="F236" s="113"/>
      <c r="G236" s="114"/>
      <c r="H236" s="114"/>
      <c r="I236" s="114"/>
      <c r="J236" s="115"/>
      <c r="K236" s="90"/>
    </row>
    <row r="237" spans="1:11" ht="15.75" x14ac:dyDescent="0.25">
      <c r="A237" s="105"/>
      <c r="B237" s="105"/>
      <c r="C237" s="105"/>
      <c r="D237" s="105"/>
      <c r="E237" s="105"/>
      <c r="F237" s="105"/>
      <c r="G237" s="105"/>
      <c r="H237" s="105"/>
      <c r="I237" s="105"/>
      <c r="J237" s="105"/>
      <c r="K237" s="105"/>
    </row>
    <row r="238" spans="1:11" ht="15.75" x14ac:dyDescent="0.2">
      <c r="A238" s="100" t="s">
        <v>887</v>
      </c>
      <c r="B238" s="100" t="s">
        <v>1012</v>
      </c>
      <c r="C238" s="100" t="s">
        <v>108</v>
      </c>
      <c r="D238" s="100" t="s">
        <v>802</v>
      </c>
      <c r="E238" s="100" t="s">
        <v>109</v>
      </c>
      <c r="F238" s="100" t="s">
        <v>112</v>
      </c>
      <c r="G238" s="100" t="s">
        <v>111</v>
      </c>
      <c r="H238" s="100" t="s">
        <v>255</v>
      </c>
      <c r="I238" s="100" t="s">
        <v>256</v>
      </c>
      <c r="J238" s="100" t="s">
        <v>254</v>
      </c>
      <c r="K238" s="100" t="s">
        <v>803</v>
      </c>
    </row>
    <row r="239" spans="1:11" ht="15.75" x14ac:dyDescent="0.25">
      <c r="A239" s="87" t="s">
        <v>890</v>
      </c>
      <c r="B239" s="87" t="s">
        <v>1009</v>
      </c>
      <c r="C239" s="82" t="s">
        <v>553</v>
      </c>
      <c r="D239" s="79" t="s">
        <v>164</v>
      </c>
      <c r="E239" s="79" t="s">
        <v>114</v>
      </c>
      <c r="F239" s="79" t="s">
        <v>166</v>
      </c>
      <c r="G239" s="82" t="s">
        <v>320</v>
      </c>
      <c r="H239" s="82" t="s">
        <v>278</v>
      </c>
      <c r="I239" s="82" t="s">
        <v>480</v>
      </c>
      <c r="J239" s="82" t="s">
        <v>933</v>
      </c>
      <c r="K239" s="82" t="s">
        <v>1076</v>
      </c>
    </row>
    <row r="240" spans="1:11" ht="15.75" x14ac:dyDescent="0.25">
      <c r="A240" s="87" t="s">
        <v>890</v>
      </c>
      <c r="B240" s="87" t="s">
        <v>1009</v>
      </c>
      <c r="C240" s="82" t="s">
        <v>555</v>
      </c>
      <c r="D240" s="79" t="s">
        <v>368</v>
      </c>
      <c r="E240" s="79" t="s">
        <v>165</v>
      </c>
      <c r="F240" s="79" t="s">
        <v>369</v>
      </c>
      <c r="G240" s="82" t="s">
        <v>320</v>
      </c>
      <c r="H240" s="82" t="s">
        <v>445</v>
      </c>
      <c r="I240" s="82" t="s">
        <v>481</v>
      </c>
      <c r="J240" s="82" t="s">
        <v>935</v>
      </c>
      <c r="K240" s="82" t="s">
        <v>1077</v>
      </c>
    </row>
    <row r="241" spans="1:11" ht="15.75" x14ac:dyDescent="0.25">
      <c r="A241" s="87" t="s">
        <v>890</v>
      </c>
      <c r="B241" s="87" t="s">
        <v>1009</v>
      </c>
      <c r="C241" s="82" t="s">
        <v>85</v>
      </c>
      <c r="D241" s="79" t="s">
        <v>120</v>
      </c>
      <c r="E241" s="79" t="s">
        <v>114</v>
      </c>
      <c r="F241" s="79" t="s">
        <v>121</v>
      </c>
      <c r="G241" s="82" t="s">
        <v>320</v>
      </c>
      <c r="H241" s="82" t="s">
        <v>259</v>
      </c>
      <c r="I241" s="82" t="s">
        <v>455</v>
      </c>
      <c r="J241" s="82" t="s">
        <v>913</v>
      </c>
      <c r="K241" s="82" t="s">
        <v>1078</v>
      </c>
    </row>
    <row r="242" spans="1:11" ht="15.75" x14ac:dyDescent="0.25">
      <c r="A242" s="87" t="s">
        <v>890</v>
      </c>
      <c r="B242" s="87" t="s">
        <v>1009</v>
      </c>
      <c r="C242" s="82" t="s">
        <v>557</v>
      </c>
      <c r="D242" s="79" t="s">
        <v>189</v>
      </c>
      <c r="E242" s="79" t="s">
        <v>125</v>
      </c>
      <c r="F242" s="79" t="s">
        <v>190</v>
      </c>
      <c r="G242" s="82" t="s">
        <v>320</v>
      </c>
      <c r="H242" s="82" t="s">
        <v>289</v>
      </c>
      <c r="I242" s="82" t="s">
        <v>492</v>
      </c>
      <c r="J242" s="82" t="s">
        <v>943</v>
      </c>
      <c r="K242" s="82" t="s">
        <v>1079</v>
      </c>
    </row>
    <row r="243" spans="1:11" ht="15.75" x14ac:dyDescent="0.25">
      <c r="A243" s="87" t="s">
        <v>890</v>
      </c>
      <c r="B243" s="87" t="s">
        <v>1009</v>
      </c>
      <c r="C243" s="82" t="s">
        <v>558</v>
      </c>
      <c r="D243" s="79" t="s">
        <v>159</v>
      </c>
      <c r="E243" s="79" t="s">
        <v>114</v>
      </c>
      <c r="F243" s="79" t="s">
        <v>160</v>
      </c>
      <c r="G243" s="82" t="s">
        <v>320</v>
      </c>
      <c r="H243" s="82" t="s">
        <v>276</v>
      </c>
      <c r="I243" s="82" t="s">
        <v>476</v>
      </c>
      <c r="J243" s="82" t="s">
        <v>929</v>
      </c>
      <c r="K243" s="82" t="s">
        <v>1080</v>
      </c>
    </row>
    <row r="244" spans="1:11" ht="15.75" x14ac:dyDescent="0.25">
      <c r="A244" s="87" t="s">
        <v>890</v>
      </c>
      <c r="B244" s="87" t="s">
        <v>1009</v>
      </c>
      <c r="C244" s="82" t="s">
        <v>559</v>
      </c>
      <c r="D244" s="79" t="s">
        <v>182</v>
      </c>
      <c r="E244" s="79" t="s">
        <v>125</v>
      </c>
      <c r="F244" s="79" t="s">
        <v>183</v>
      </c>
      <c r="G244" s="82" t="s">
        <v>320</v>
      </c>
      <c r="H244" s="82" t="s">
        <v>286</v>
      </c>
      <c r="I244" s="82" t="s">
        <v>489</v>
      </c>
      <c r="J244" s="82" t="s">
        <v>942</v>
      </c>
      <c r="K244" s="82" t="s">
        <v>1081</v>
      </c>
    </row>
    <row r="245" spans="1:11" ht="15.75" x14ac:dyDescent="0.25">
      <c r="A245" s="87" t="s">
        <v>890</v>
      </c>
      <c r="B245" s="87" t="s">
        <v>1009</v>
      </c>
      <c r="C245" s="82" t="s">
        <v>561</v>
      </c>
      <c r="D245" s="79" t="s">
        <v>130</v>
      </c>
      <c r="E245" s="79" t="s">
        <v>125</v>
      </c>
      <c r="F245" s="79" t="s">
        <v>131</v>
      </c>
      <c r="G245" s="82" t="s">
        <v>320</v>
      </c>
      <c r="H245" s="82" t="s">
        <v>263</v>
      </c>
      <c r="I245" s="82" t="s">
        <v>459</v>
      </c>
      <c r="J245" s="82" t="s">
        <v>918</v>
      </c>
      <c r="K245" s="82" t="s">
        <v>1082</v>
      </c>
    </row>
    <row r="246" spans="1:11" ht="15.75" x14ac:dyDescent="0.25">
      <c r="A246" s="87" t="s">
        <v>890</v>
      </c>
      <c r="B246" s="87" t="s">
        <v>1009</v>
      </c>
      <c r="C246" s="82" t="s">
        <v>563</v>
      </c>
      <c r="D246" s="79" t="s">
        <v>214</v>
      </c>
      <c r="E246" s="79" t="s">
        <v>114</v>
      </c>
      <c r="F246" s="79" t="s">
        <v>215</v>
      </c>
      <c r="G246" s="82" t="s">
        <v>320</v>
      </c>
      <c r="H246" s="82" t="s">
        <v>301</v>
      </c>
      <c r="I246" s="82" t="s">
        <v>507</v>
      </c>
      <c r="J246" s="82" t="s">
        <v>955</v>
      </c>
      <c r="K246" s="82" t="s">
        <v>1083</v>
      </c>
    </row>
    <row r="247" spans="1:11" ht="15.75" x14ac:dyDescent="0.25">
      <c r="A247" s="87" t="s">
        <v>890</v>
      </c>
      <c r="B247" s="87" t="s">
        <v>1009</v>
      </c>
      <c r="C247" s="82" t="s">
        <v>566</v>
      </c>
      <c r="D247" s="79" t="s">
        <v>146</v>
      </c>
      <c r="E247" s="79" t="s">
        <v>114</v>
      </c>
      <c r="F247" s="79" t="s">
        <v>147</v>
      </c>
      <c r="G247" s="82" t="s">
        <v>320</v>
      </c>
      <c r="H247" s="82" t="s">
        <v>270</v>
      </c>
      <c r="I247" s="82" t="s">
        <v>468</v>
      </c>
      <c r="J247" s="82" t="s">
        <v>924</v>
      </c>
      <c r="K247" s="82" t="s">
        <v>1084</v>
      </c>
    </row>
    <row r="248" spans="1:11" ht="15.75" x14ac:dyDescent="0.25">
      <c r="A248" s="87" t="s">
        <v>890</v>
      </c>
      <c r="B248" s="87" t="s">
        <v>1009</v>
      </c>
      <c r="C248" s="82" t="s">
        <v>567</v>
      </c>
      <c r="D248" s="79" t="s">
        <v>198</v>
      </c>
      <c r="E248" s="79" t="s">
        <v>125</v>
      </c>
      <c r="F248" s="79" t="s">
        <v>199</v>
      </c>
      <c r="G248" s="82" t="s">
        <v>320</v>
      </c>
      <c r="H248" s="82" t="s">
        <v>293</v>
      </c>
      <c r="I248" s="82" t="s">
        <v>496</v>
      </c>
      <c r="J248" s="82" t="s">
        <v>945</v>
      </c>
      <c r="K248" s="82" t="s">
        <v>1085</v>
      </c>
    </row>
    <row r="249" spans="1:11" ht="15.75" x14ac:dyDescent="0.25">
      <c r="A249" s="87" t="s">
        <v>890</v>
      </c>
      <c r="B249" s="87" t="s">
        <v>1009</v>
      </c>
      <c r="C249" s="82" t="s">
        <v>568</v>
      </c>
      <c r="D249" s="79" t="s">
        <v>170</v>
      </c>
      <c r="E249" s="79" t="s">
        <v>144</v>
      </c>
      <c r="F249" s="79" t="s">
        <v>171</v>
      </c>
      <c r="G249" s="82" t="s">
        <v>320</v>
      </c>
      <c r="H249" s="82" t="s">
        <v>280</v>
      </c>
      <c r="I249" s="82" t="s">
        <v>483</v>
      </c>
      <c r="J249" s="82" t="s">
        <v>936</v>
      </c>
      <c r="K249" s="82" t="s">
        <v>1086</v>
      </c>
    </row>
    <row r="250" spans="1:11" ht="15.75" x14ac:dyDescent="0.25">
      <c r="A250" s="87" t="s">
        <v>890</v>
      </c>
      <c r="B250" s="87" t="s">
        <v>1009</v>
      </c>
      <c r="C250" s="82" t="s">
        <v>569</v>
      </c>
      <c r="D250" s="79" t="s">
        <v>246</v>
      </c>
      <c r="E250" s="79" t="s">
        <v>144</v>
      </c>
      <c r="F250" s="79" t="s">
        <v>247</v>
      </c>
      <c r="G250" s="82" t="s">
        <v>320</v>
      </c>
      <c r="H250" s="82" t="s">
        <v>317</v>
      </c>
      <c r="I250" s="82" t="s">
        <v>526</v>
      </c>
      <c r="J250" s="82" t="s">
        <v>966</v>
      </c>
      <c r="K250" s="82" t="s">
        <v>1087</v>
      </c>
    </row>
    <row r="251" spans="1:11" ht="15.75" x14ac:dyDescent="0.25">
      <c r="A251" s="87" t="s">
        <v>890</v>
      </c>
      <c r="B251" s="87" t="s">
        <v>1009</v>
      </c>
      <c r="C251" s="82" t="s">
        <v>953</v>
      </c>
      <c r="D251" s="79" t="s">
        <v>863</v>
      </c>
      <c r="E251" s="79" t="s">
        <v>114</v>
      </c>
      <c r="F251" s="79" t="s">
        <v>864</v>
      </c>
      <c r="G251" s="82" t="s">
        <v>320</v>
      </c>
      <c r="H251" s="82" t="s">
        <v>901</v>
      </c>
      <c r="I251" s="82" t="s">
        <v>902</v>
      </c>
      <c r="J251" s="82" t="s">
        <v>954</v>
      </c>
      <c r="K251" s="82" t="s">
        <v>1088</v>
      </c>
    </row>
    <row r="252" spans="1:11" ht="15.75" x14ac:dyDescent="0.25">
      <c r="A252" s="87" t="s">
        <v>890</v>
      </c>
      <c r="B252" s="87" t="s">
        <v>1009</v>
      </c>
      <c r="C252" s="82" t="s">
        <v>59</v>
      </c>
      <c r="D252" s="79" t="s">
        <v>134</v>
      </c>
      <c r="E252" s="79" t="s">
        <v>125</v>
      </c>
      <c r="F252" s="79" t="s">
        <v>135</v>
      </c>
      <c r="G252" s="82" t="s">
        <v>320</v>
      </c>
      <c r="H252" s="82" t="s">
        <v>265</v>
      </c>
      <c r="I252" s="82" t="s">
        <v>462</v>
      </c>
      <c r="J252" s="82" t="s">
        <v>921</v>
      </c>
      <c r="K252" s="82" t="s">
        <v>1089</v>
      </c>
    </row>
    <row r="253" spans="1:11" ht="15.75" x14ac:dyDescent="0.25">
      <c r="A253" s="87" t="s">
        <v>890</v>
      </c>
      <c r="B253" s="87" t="s">
        <v>1009</v>
      </c>
      <c r="C253" s="82" t="s">
        <v>571</v>
      </c>
      <c r="D253" s="79" t="s">
        <v>356</v>
      </c>
      <c r="E253" s="79" t="s">
        <v>125</v>
      </c>
      <c r="F253" s="79" t="s">
        <v>357</v>
      </c>
      <c r="G253" s="82" t="s">
        <v>320</v>
      </c>
      <c r="H253" s="82" t="s">
        <v>442</v>
      </c>
      <c r="I253" s="82" t="s">
        <v>475</v>
      </c>
      <c r="J253" s="82" t="s">
        <v>928</v>
      </c>
      <c r="K253" s="82" t="s">
        <v>1090</v>
      </c>
    </row>
    <row r="254" spans="1:11" ht="15.75" x14ac:dyDescent="0.25">
      <c r="A254" s="87" t="s">
        <v>890</v>
      </c>
      <c r="B254" s="87" t="s">
        <v>1009</v>
      </c>
      <c r="C254" s="82" t="s">
        <v>572</v>
      </c>
      <c r="D254" s="79" t="s">
        <v>191</v>
      </c>
      <c r="E254" s="79" t="s">
        <v>125</v>
      </c>
      <c r="F254" s="79" t="s">
        <v>192</v>
      </c>
      <c r="G254" s="82" t="s">
        <v>320</v>
      </c>
      <c r="H254" s="82" t="s">
        <v>290</v>
      </c>
      <c r="I254" s="82" t="s">
        <v>493</v>
      </c>
      <c r="J254" s="82" t="s">
        <v>944</v>
      </c>
      <c r="K254" s="82" t="s">
        <v>1091</v>
      </c>
    </row>
    <row r="255" spans="1:11" ht="15.75" x14ac:dyDescent="0.25">
      <c r="A255" s="87" t="s">
        <v>890</v>
      </c>
      <c r="B255" s="87" t="s">
        <v>1009</v>
      </c>
      <c r="C255" s="82" t="s">
        <v>574</v>
      </c>
      <c r="D255" s="79" t="s">
        <v>397</v>
      </c>
      <c r="E255" s="79" t="s">
        <v>398</v>
      </c>
      <c r="F255" s="79" t="s">
        <v>399</v>
      </c>
      <c r="G255" s="82" t="s">
        <v>320</v>
      </c>
      <c r="H255" s="82" t="s">
        <v>448</v>
      </c>
      <c r="I255" s="82" t="s">
        <v>500</v>
      </c>
      <c r="J255" s="82" t="s">
        <v>949</v>
      </c>
      <c r="K255" s="82" t="s">
        <v>1092</v>
      </c>
    </row>
    <row r="256" spans="1:11" ht="15.75" x14ac:dyDescent="0.25">
      <c r="A256" s="87" t="s">
        <v>890</v>
      </c>
      <c r="B256" s="87" t="s">
        <v>1009</v>
      </c>
      <c r="C256" s="82" t="s">
        <v>575</v>
      </c>
      <c r="D256" s="79" t="s">
        <v>220</v>
      </c>
      <c r="E256" s="79" t="s">
        <v>114</v>
      </c>
      <c r="F256" s="79" t="s">
        <v>221</v>
      </c>
      <c r="G256" s="82" t="s">
        <v>320</v>
      </c>
      <c r="H256" s="82" t="s">
        <v>304</v>
      </c>
      <c r="I256" s="82" t="s">
        <v>510</v>
      </c>
      <c r="J256" s="82" t="s">
        <v>958</v>
      </c>
      <c r="K256" s="82" t="s">
        <v>1093</v>
      </c>
    </row>
    <row r="257" spans="1:11" ht="15.75" x14ac:dyDescent="0.25">
      <c r="A257" s="87" t="s">
        <v>890</v>
      </c>
      <c r="B257" s="87" t="s">
        <v>1009</v>
      </c>
      <c r="C257" s="82" t="s">
        <v>88</v>
      </c>
      <c r="D257" s="79" t="s">
        <v>152</v>
      </c>
      <c r="E257" s="79" t="s">
        <v>114</v>
      </c>
      <c r="F257" s="79" t="s">
        <v>153</v>
      </c>
      <c r="G257" s="82" t="s">
        <v>320</v>
      </c>
      <c r="H257" s="82" t="s">
        <v>273</v>
      </c>
      <c r="I257" s="82" t="s">
        <v>472</v>
      </c>
      <c r="J257" s="82" t="s">
        <v>927</v>
      </c>
      <c r="K257" s="82" t="s">
        <v>1094</v>
      </c>
    </row>
    <row r="258" spans="1:11" ht="15.75" x14ac:dyDescent="0.25">
      <c r="A258" s="87" t="s">
        <v>890</v>
      </c>
      <c r="B258" s="87" t="s">
        <v>1009</v>
      </c>
      <c r="C258" s="82" t="s">
        <v>579</v>
      </c>
      <c r="D258" s="79" t="s">
        <v>208</v>
      </c>
      <c r="E258" s="79" t="s">
        <v>114</v>
      </c>
      <c r="F258" s="79" t="s">
        <v>209</v>
      </c>
      <c r="G258" s="82" t="s">
        <v>320</v>
      </c>
      <c r="H258" s="82" t="s">
        <v>298</v>
      </c>
      <c r="I258" s="82" t="s">
        <v>503</v>
      </c>
      <c r="J258" s="82" t="s">
        <v>951</v>
      </c>
      <c r="K258" s="82" t="s">
        <v>1095</v>
      </c>
    </row>
    <row r="259" spans="1:11" ht="15.75" x14ac:dyDescent="0.25">
      <c r="A259" s="87" t="s">
        <v>890</v>
      </c>
      <c r="B259" s="87" t="s">
        <v>1009</v>
      </c>
      <c r="C259" s="82" t="s">
        <v>582</v>
      </c>
      <c r="D259" s="79" t="s">
        <v>222</v>
      </c>
      <c r="E259" s="79" t="s">
        <v>114</v>
      </c>
      <c r="F259" s="79" t="s">
        <v>223</v>
      </c>
      <c r="G259" s="82" t="s">
        <v>320</v>
      </c>
      <c r="H259" s="82" t="s">
        <v>305</v>
      </c>
      <c r="I259" s="82" t="s">
        <v>511</v>
      </c>
      <c r="J259" s="82" t="s">
        <v>959</v>
      </c>
      <c r="K259" s="82" t="s">
        <v>1096</v>
      </c>
    </row>
    <row r="260" spans="1:11" ht="15.75" x14ac:dyDescent="0.25">
      <c r="A260" s="87" t="s">
        <v>890</v>
      </c>
      <c r="B260" s="87" t="s">
        <v>1009</v>
      </c>
      <c r="C260" s="82" t="s">
        <v>583</v>
      </c>
      <c r="D260" s="79" t="s">
        <v>122</v>
      </c>
      <c r="E260" s="79" t="s">
        <v>114</v>
      </c>
      <c r="F260" s="79" t="s">
        <v>123</v>
      </c>
      <c r="G260" s="82" t="s">
        <v>320</v>
      </c>
      <c r="H260" s="82" t="s">
        <v>260</v>
      </c>
      <c r="I260" s="82" t="s">
        <v>456</v>
      </c>
      <c r="J260" s="82" t="s">
        <v>914</v>
      </c>
      <c r="K260" s="82" t="s">
        <v>1097</v>
      </c>
    </row>
    <row r="261" spans="1:11" ht="15.75" x14ac:dyDescent="0.25">
      <c r="A261" s="87" t="s">
        <v>890</v>
      </c>
      <c r="B261" s="87" t="s">
        <v>1009</v>
      </c>
      <c r="C261" s="82" t="s">
        <v>915</v>
      </c>
      <c r="D261" s="79" t="s">
        <v>851</v>
      </c>
      <c r="E261" s="79" t="s">
        <v>114</v>
      </c>
      <c r="F261" s="79" t="s">
        <v>852</v>
      </c>
      <c r="G261" s="82" t="s">
        <v>320</v>
      </c>
      <c r="H261" s="82" t="s">
        <v>894</v>
      </c>
      <c r="I261" s="82" t="s">
        <v>895</v>
      </c>
      <c r="J261" s="82" t="s">
        <v>916</v>
      </c>
      <c r="K261" s="82" t="s">
        <v>1098</v>
      </c>
    </row>
    <row r="262" spans="1:11" ht="15.75" x14ac:dyDescent="0.25">
      <c r="A262" s="87" t="s">
        <v>890</v>
      </c>
      <c r="B262" s="87" t="s">
        <v>1009</v>
      </c>
      <c r="C262" s="82" t="s">
        <v>584</v>
      </c>
      <c r="D262" s="79" t="s">
        <v>364</v>
      </c>
      <c r="E262" s="79" t="s">
        <v>144</v>
      </c>
      <c r="F262" s="79" t="s">
        <v>365</v>
      </c>
      <c r="G262" s="82" t="s">
        <v>320</v>
      </c>
      <c r="H262" s="82" t="s">
        <v>444</v>
      </c>
      <c r="I262" s="82" t="s">
        <v>479</v>
      </c>
      <c r="J262" s="82" t="s">
        <v>932</v>
      </c>
      <c r="K262" s="82" t="s">
        <v>1099</v>
      </c>
    </row>
    <row r="263" spans="1:11" ht="15.75" x14ac:dyDescent="0.25">
      <c r="A263" s="87" t="s">
        <v>890</v>
      </c>
      <c r="B263" s="87" t="s">
        <v>1009</v>
      </c>
      <c r="C263" s="82" t="s">
        <v>586</v>
      </c>
      <c r="D263" s="79" t="s">
        <v>174</v>
      </c>
      <c r="E263" s="79" t="s">
        <v>114</v>
      </c>
      <c r="F263" s="79" t="s">
        <v>175</v>
      </c>
      <c r="G263" s="82" t="s">
        <v>320</v>
      </c>
      <c r="H263" s="82" t="s">
        <v>282</v>
      </c>
      <c r="I263" s="82" t="s">
        <v>485</v>
      </c>
      <c r="J263" s="82" t="s">
        <v>938</v>
      </c>
      <c r="K263" s="82" t="s">
        <v>1100</v>
      </c>
    </row>
    <row r="264" spans="1:11" ht="15.75" x14ac:dyDescent="0.25">
      <c r="A264" s="87" t="s">
        <v>890</v>
      </c>
      <c r="B264" s="87" t="s">
        <v>1009</v>
      </c>
      <c r="C264" s="82" t="s">
        <v>587</v>
      </c>
      <c r="D264" s="79" t="s">
        <v>138</v>
      </c>
      <c r="E264" s="79" t="s">
        <v>114</v>
      </c>
      <c r="F264" s="79" t="s">
        <v>139</v>
      </c>
      <c r="G264" s="82" t="s">
        <v>320</v>
      </c>
      <c r="H264" s="82" t="s">
        <v>267</v>
      </c>
      <c r="I264" s="82" t="s">
        <v>464</v>
      </c>
      <c r="J264" s="82" t="s">
        <v>922</v>
      </c>
      <c r="K264" s="82" t="s">
        <v>1101</v>
      </c>
    </row>
    <row r="265" spans="1:11" ht="15.75" x14ac:dyDescent="0.25">
      <c r="A265" s="87" t="s">
        <v>890</v>
      </c>
      <c r="B265" s="87" t="s">
        <v>1009</v>
      </c>
      <c r="C265" s="82" t="s">
        <v>588</v>
      </c>
      <c r="D265" s="79" t="s">
        <v>232</v>
      </c>
      <c r="E265" s="79" t="s">
        <v>125</v>
      </c>
      <c r="F265" s="79" t="s">
        <v>233</v>
      </c>
      <c r="G265" s="82" t="s">
        <v>320</v>
      </c>
      <c r="H265" s="82" t="s">
        <v>310</v>
      </c>
      <c r="I265" s="82" t="s">
        <v>518</v>
      </c>
      <c r="J265" s="82" t="s">
        <v>962</v>
      </c>
      <c r="K265" s="82" t="s">
        <v>1102</v>
      </c>
    </row>
    <row r="266" spans="1:11" ht="15.75" x14ac:dyDescent="0.25">
      <c r="A266" s="87" t="s">
        <v>890</v>
      </c>
      <c r="B266" s="87" t="s">
        <v>1009</v>
      </c>
      <c r="C266" s="82" t="s">
        <v>589</v>
      </c>
      <c r="D266" s="79" t="s">
        <v>172</v>
      </c>
      <c r="E266" s="79" t="s">
        <v>125</v>
      </c>
      <c r="F266" s="79" t="s">
        <v>173</v>
      </c>
      <c r="G266" s="82" t="s">
        <v>320</v>
      </c>
      <c r="H266" s="82" t="s">
        <v>281</v>
      </c>
      <c r="I266" s="82" t="s">
        <v>484</v>
      </c>
      <c r="J266" s="82" t="s">
        <v>937</v>
      </c>
      <c r="K266" s="82" t="s">
        <v>1103</v>
      </c>
    </row>
    <row r="267" spans="1:11" ht="15.75" x14ac:dyDescent="0.25">
      <c r="A267" s="87" t="s">
        <v>890</v>
      </c>
      <c r="B267" s="87" t="s">
        <v>1009</v>
      </c>
      <c r="C267" s="82" t="s">
        <v>590</v>
      </c>
      <c r="D267" s="79" t="s">
        <v>202</v>
      </c>
      <c r="E267" s="79" t="s">
        <v>114</v>
      </c>
      <c r="F267" s="79" t="s">
        <v>203</v>
      </c>
      <c r="G267" s="82" t="s">
        <v>320</v>
      </c>
      <c r="H267" s="82" t="s">
        <v>295</v>
      </c>
      <c r="I267" s="82" t="s">
        <v>499</v>
      </c>
      <c r="J267" s="82" t="s">
        <v>948</v>
      </c>
      <c r="K267" s="82" t="s">
        <v>1104</v>
      </c>
    </row>
    <row r="268" spans="1:11" ht="15.75" x14ac:dyDescent="0.25">
      <c r="A268" s="87" t="s">
        <v>890</v>
      </c>
      <c r="B268" s="87" t="s">
        <v>1009</v>
      </c>
      <c r="C268" s="82" t="s">
        <v>69</v>
      </c>
      <c r="D268" s="79" t="s">
        <v>124</v>
      </c>
      <c r="E268" s="79" t="s">
        <v>125</v>
      </c>
      <c r="F268" s="79" t="s">
        <v>126</v>
      </c>
      <c r="G268" s="82" t="s">
        <v>320</v>
      </c>
      <c r="H268" s="82" t="s">
        <v>261</v>
      </c>
      <c r="I268" s="82" t="s">
        <v>457</v>
      </c>
      <c r="J268" s="82" t="s">
        <v>917</v>
      </c>
      <c r="K268" s="82" t="s">
        <v>1105</v>
      </c>
    </row>
    <row r="269" spans="1:11" ht="15.75" x14ac:dyDescent="0.25">
      <c r="A269" s="87" t="s">
        <v>890</v>
      </c>
      <c r="B269" s="87" t="s">
        <v>1009</v>
      </c>
      <c r="C269" s="82" t="s">
        <v>64</v>
      </c>
      <c r="D269" s="79" t="s">
        <v>242</v>
      </c>
      <c r="E269" s="79" t="s">
        <v>125</v>
      </c>
      <c r="F269" s="79" t="s">
        <v>243</v>
      </c>
      <c r="G269" s="82" t="s">
        <v>320</v>
      </c>
      <c r="H269" s="82" t="s">
        <v>315</v>
      </c>
      <c r="I269" s="82" t="s">
        <v>523</v>
      </c>
      <c r="J269" s="82" t="s">
        <v>964</v>
      </c>
      <c r="K269" s="82" t="s">
        <v>1106</v>
      </c>
    </row>
    <row r="270" spans="1:11" ht="15.75" x14ac:dyDescent="0.25">
      <c r="A270" s="87" t="s">
        <v>890</v>
      </c>
      <c r="B270" s="87" t="s">
        <v>1009</v>
      </c>
      <c r="C270" s="82" t="s">
        <v>592</v>
      </c>
      <c r="D270" s="79" t="s">
        <v>206</v>
      </c>
      <c r="E270" s="79" t="s">
        <v>165</v>
      </c>
      <c r="F270" s="79" t="s">
        <v>207</v>
      </c>
      <c r="G270" s="82" t="s">
        <v>320</v>
      </c>
      <c r="H270" s="82" t="s">
        <v>297</v>
      </c>
      <c r="I270" s="82" t="s">
        <v>502</v>
      </c>
      <c r="J270" s="82" t="s">
        <v>950</v>
      </c>
      <c r="K270" s="82" t="s">
        <v>1107</v>
      </c>
    </row>
    <row r="271" spans="1:11" ht="15.75" x14ac:dyDescent="0.25">
      <c r="A271" s="87" t="s">
        <v>890</v>
      </c>
      <c r="B271" s="87" t="s">
        <v>1009</v>
      </c>
      <c r="C271" s="82" t="s">
        <v>41</v>
      </c>
      <c r="D271" s="79" t="s">
        <v>150</v>
      </c>
      <c r="E271" s="79" t="s">
        <v>114</v>
      </c>
      <c r="F271" s="79" t="s">
        <v>151</v>
      </c>
      <c r="G271" s="82" t="s">
        <v>320</v>
      </c>
      <c r="H271" s="82" t="s">
        <v>272</v>
      </c>
      <c r="I271" s="82" t="s">
        <v>470</v>
      </c>
      <c r="J271" s="82" t="s">
        <v>926</v>
      </c>
      <c r="K271" s="82" t="s">
        <v>1108</v>
      </c>
    </row>
    <row r="272" spans="1:11" ht="15.75" x14ac:dyDescent="0.25">
      <c r="A272" s="87" t="s">
        <v>890</v>
      </c>
      <c r="B272" s="87" t="s">
        <v>1009</v>
      </c>
      <c r="C272" s="82" t="s">
        <v>593</v>
      </c>
      <c r="D272" s="79" t="s">
        <v>180</v>
      </c>
      <c r="E272" s="79" t="s">
        <v>114</v>
      </c>
      <c r="F272" s="79" t="s">
        <v>181</v>
      </c>
      <c r="G272" s="82" t="s">
        <v>320</v>
      </c>
      <c r="H272" s="82" t="s">
        <v>285</v>
      </c>
      <c r="I272" s="82" t="s">
        <v>488</v>
      </c>
      <c r="J272" s="82" t="s">
        <v>941</v>
      </c>
      <c r="K272" s="82" t="s">
        <v>1109</v>
      </c>
    </row>
    <row r="273" spans="1:11" ht="15.75" x14ac:dyDescent="0.25">
      <c r="A273" s="87" t="s">
        <v>890</v>
      </c>
      <c r="B273" s="87" t="s">
        <v>1009</v>
      </c>
      <c r="C273" s="82" t="s">
        <v>946</v>
      </c>
      <c r="D273" s="79" t="s">
        <v>860</v>
      </c>
      <c r="E273" s="79" t="s">
        <v>144</v>
      </c>
      <c r="F273" s="79" t="s">
        <v>861</v>
      </c>
      <c r="G273" s="82" t="s">
        <v>320</v>
      </c>
      <c r="H273" s="82" t="s">
        <v>899</v>
      </c>
      <c r="I273" s="82" t="s">
        <v>900</v>
      </c>
      <c r="J273" s="82" t="s">
        <v>947</v>
      </c>
      <c r="K273" s="82" t="s">
        <v>1110</v>
      </c>
    </row>
    <row r="274" spans="1:11" ht="15.75" x14ac:dyDescent="0.25">
      <c r="A274" s="87" t="s">
        <v>890</v>
      </c>
      <c r="B274" s="87" t="s">
        <v>1009</v>
      </c>
      <c r="C274" s="82" t="s">
        <v>29</v>
      </c>
      <c r="D274" s="79" t="s">
        <v>230</v>
      </c>
      <c r="E274" s="79" t="s">
        <v>114</v>
      </c>
      <c r="F274" s="79" t="s">
        <v>231</v>
      </c>
      <c r="G274" s="82" t="s">
        <v>320</v>
      </c>
      <c r="H274" s="82" t="s">
        <v>309</v>
      </c>
      <c r="I274" s="82" t="s">
        <v>517</v>
      </c>
      <c r="J274" s="82" t="s">
        <v>961</v>
      </c>
      <c r="K274" s="82" t="s">
        <v>1111</v>
      </c>
    </row>
    <row r="275" spans="1:11" ht="15.75" x14ac:dyDescent="0.25">
      <c r="A275" s="87" t="s">
        <v>890</v>
      </c>
      <c r="B275" s="87" t="s">
        <v>1009</v>
      </c>
      <c r="C275" s="82" t="s">
        <v>595</v>
      </c>
      <c r="D275" s="79" t="s">
        <v>360</v>
      </c>
      <c r="E275" s="79" t="s">
        <v>165</v>
      </c>
      <c r="F275" s="79" t="s">
        <v>361</v>
      </c>
      <c r="G275" s="82" t="s">
        <v>320</v>
      </c>
      <c r="H275" s="82" t="s">
        <v>443</v>
      </c>
      <c r="I275" s="82" t="s">
        <v>477</v>
      </c>
      <c r="J275" s="82" t="s">
        <v>930</v>
      </c>
      <c r="K275" s="82" t="s">
        <v>1112</v>
      </c>
    </row>
    <row r="276" spans="1:11" ht="15.75" x14ac:dyDescent="0.25">
      <c r="A276" s="87" t="s">
        <v>890</v>
      </c>
      <c r="B276" s="87" t="s">
        <v>1009</v>
      </c>
      <c r="C276" s="82" t="s">
        <v>596</v>
      </c>
      <c r="D276" s="79" t="s">
        <v>212</v>
      </c>
      <c r="E276" s="79" t="s">
        <v>114</v>
      </c>
      <c r="F276" s="79" t="s">
        <v>213</v>
      </c>
      <c r="G276" s="82" t="s">
        <v>320</v>
      </c>
      <c r="H276" s="82" t="s">
        <v>300</v>
      </c>
      <c r="I276" s="82" t="s">
        <v>505</v>
      </c>
      <c r="J276" s="82" t="s">
        <v>952</v>
      </c>
      <c r="K276" s="82" t="s">
        <v>1113</v>
      </c>
    </row>
    <row r="277" spans="1:11" ht="15.75" x14ac:dyDescent="0.25">
      <c r="A277" s="87" t="s">
        <v>890</v>
      </c>
      <c r="B277" s="87" t="s">
        <v>1009</v>
      </c>
      <c r="C277" s="82" t="s">
        <v>597</v>
      </c>
      <c r="D277" s="79" t="s">
        <v>432</v>
      </c>
      <c r="E277" s="79" t="s">
        <v>165</v>
      </c>
      <c r="F277" s="79" t="s">
        <v>433</v>
      </c>
      <c r="G277" s="82" t="s">
        <v>320</v>
      </c>
      <c r="H277" s="82" t="s">
        <v>452</v>
      </c>
      <c r="I277" s="82" t="s">
        <v>524</v>
      </c>
      <c r="J277" s="82" t="s">
        <v>965</v>
      </c>
      <c r="K277" s="82" t="s">
        <v>1114</v>
      </c>
    </row>
    <row r="278" spans="1:11" ht="15.75" x14ac:dyDescent="0.25">
      <c r="A278" s="87" t="s">
        <v>890</v>
      </c>
      <c r="B278" s="87" t="s">
        <v>1009</v>
      </c>
      <c r="C278" s="82" t="s">
        <v>598</v>
      </c>
      <c r="D278" s="79" t="s">
        <v>336</v>
      </c>
      <c r="E278" s="79" t="s">
        <v>114</v>
      </c>
      <c r="F278" s="79" t="s">
        <v>337</v>
      </c>
      <c r="G278" s="82" t="s">
        <v>320</v>
      </c>
      <c r="H278" s="82" t="s">
        <v>439</v>
      </c>
      <c r="I278" s="82" t="s">
        <v>461</v>
      </c>
      <c r="J278" s="82" t="s">
        <v>920</v>
      </c>
      <c r="K278" s="82" t="s">
        <v>1115</v>
      </c>
    </row>
    <row r="279" spans="1:11" ht="15.75" x14ac:dyDescent="0.25">
      <c r="A279" s="87" t="s">
        <v>890</v>
      </c>
      <c r="B279" s="87" t="s">
        <v>1009</v>
      </c>
      <c r="C279" s="82" t="s">
        <v>76</v>
      </c>
      <c r="D279" s="79" t="s">
        <v>178</v>
      </c>
      <c r="E279" s="79" t="s">
        <v>125</v>
      </c>
      <c r="F279" s="79" t="s">
        <v>179</v>
      </c>
      <c r="G279" s="82" t="s">
        <v>320</v>
      </c>
      <c r="H279" s="82" t="s">
        <v>284</v>
      </c>
      <c r="I279" s="82" t="s">
        <v>487</v>
      </c>
      <c r="J279" s="82" t="s">
        <v>940</v>
      </c>
      <c r="K279" s="82" t="s">
        <v>1116</v>
      </c>
    </row>
    <row r="280" spans="1:11" ht="15.75" x14ac:dyDescent="0.25">
      <c r="A280" s="87" t="s">
        <v>890</v>
      </c>
      <c r="B280" s="87" t="s">
        <v>1009</v>
      </c>
      <c r="C280" s="82" t="s">
        <v>62</v>
      </c>
      <c r="D280" s="79" t="s">
        <v>143</v>
      </c>
      <c r="E280" s="79" t="s">
        <v>144</v>
      </c>
      <c r="F280" s="79" t="s">
        <v>145</v>
      </c>
      <c r="G280" s="82" t="s">
        <v>320</v>
      </c>
      <c r="H280" s="82" t="s">
        <v>269</v>
      </c>
      <c r="I280" s="82" t="s">
        <v>467</v>
      </c>
      <c r="J280" s="82" t="s">
        <v>923</v>
      </c>
      <c r="K280" s="82" t="s">
        <v>1117</v>
      </c>
    </row>
    <row r="281" spans="1:11" ht="15.75" x14ac:dyDescent="0.25">
      <c r="A281" s="87" t="s">
        <v>890</v>
      </c>
      <c r="B281" s="87" t="s">
        <v>1009</v>
      </c>
      <c r="C281" s="82" t="s">
        <v>956</v>
      </c>
      <c r="D281" s="79" t="s">
        <v>866</v>
      </c>
      <c r="E281" s="79" t="s">
        <v>125</v>
      </c>
      <c r="F281" s="79" t="s">
        <v>217</v>
      </c>
      <c r="G281" s="82" t="s">
        <v>320</v>
      </c>
      <c r="H281" s="82" t="s">
        <v>302</v>
      </c>
      <c r="I281" s="82" t="s">
        <v>903</v>
      </c>
      <c r="J281" s="82" t="s">
        <v>957</v>
      </c>
      <c r="K281" s="82" t="s">
        <v>1118</v>
      </c>
    </row>
    <row r="282" spans="1:11" ht="15.75" x14ac:dyDescent="0.25">
      <c r="A282" s="87" t="s">
        <v>890</v>
      </c>
      <c r="B282" s="87" t="s">
        <v>1009</v>
      </c>
      <c r="C282" s="82" t="s">
        <v>601</v>
      </c>
      <c r="D282" s="79" t="s">
        <v>162</v>
      </c>
      <c r="E282" s="79" t="s">
        <v>114</v>
      </c>
      <c r="F282" s="79" t="s">
        <v>163</v>
      </c>
      <c r="G282" s="82" t="s">
        <v>320</v>
      </c>
      <c r="H282" s="82" t="s">
        <v>277</v>
      </c>
      <c r="I282" s="82" t="s">
        <v>478</v>
      </c>
      <c r="J282" s="82" t="s">
        <v>931</v>
      </c>
      <c r="K282" s="82" t="s">
        <v>1119</v>
      </c>
    </row>
    <row r="283" spans="1:11" ht="15.75" x14ac:dyDescent="0.25">
      <c r="A283" s="87" t="s">
        <v>890</v>
      </c>
      <c r="B283" s="87" t="s">
        <v>1009</v>
      </c>
      <c r="C283" s="82" t="s">
        <v>602</v>
      </c>
      <c r="D283" s="79" t="s">
        <v>176</v>
      </c>
      <c r="E283" s="79" t="s">
        <v>114</v>
      </c>
      <c r="F283" s="79" t="s">
        <v>177</v>
      </c>
      <c r="G283" s="82" t="s">
        <v>320</v>
      </c>
      <c r="H283" s="82" t="s">
        <v>283</v>
      </c>
      <c r="I283" s="82" t="s">
        <v>486</v>
      </c>
      <c r="J283" s="82" t="s">
        <v>939</v>
      </c>
      <c r="K283" s="82" t="s">
        <v>1120</v>
      </c>
    </row>
    <row r="284" spans="1:11" ht="15.75" x14ac:dyDescent="0.25">
      <c r="A284" s="87" t="s">
        <v>890</v>
      </c>
      <c r="B284" s="87" t="s">
        <v>1009</v>
      </c>
      <c r="C284" s="82" t="s">
        <v>38</v>
      </c>
      <c r="D284" s="79" t="s">
        <v>113</v>
      </c>
      <c r="E284" s="79" t="s">
        <v>114</v>
      </c>
      <c r="F284" s="79" t="s">
        <v>116</v>
      </c>
      <c r="G284" s="82" t="s">
        <v>320</v>
      </c>
      <c r="H284" s="82" t="s">
        <v>257</v>
      </c>
      <c r="I284" s="82" t="s">
        <v>453</v>
      </c>
      <c r="J284" s="82" t="s">
        <v>912</v>
      </c>
      <c r="K284" s="82" t="s">
        <v>1121</v>
      </c>
    </row>
    <row r="285" spans="1:11" ht="15.75" x14ac:dyDescent="0.25">
      <c r="A285" s="87" t="s">
        <v>890</v>
      </c>
      <c r="B285" s="87" t="s">
        <v>1009</v>
      </c>
      <c r="C285" s="82" t="s">
        <v>604</v>
      </c>
      <c r="D285" s="79" t="s">
        <v>148</v>
      </c>
      <c r="E285" s="79" t="s">
        <v>144</v>
      </c>
      <c r="F285" s="79" t="s">
        <v>149</v>
      </c>
      <c r="G285" s="82" t="s">
        <v>320</v>
      </c>
      <c r="H285" s="82" t="s">
        <v>271</v>
      </c>
      <c r="I285" s="82" t="s">
        <v>469</v>
      </c>
      <c r="J285" s="82" t="s">
        <v>925</v>
      </c>
      <c r="K285" s="82" t="s">
        <v>1122</v>
      </c>
    </row>
    <row r="286" spans="1:11" ht="15.75" x14ac:dyDescent="0.25">
      <c r="A286" s="87" t="s">
        <v>890</v>
      </c>
      <c r="B286" s="87" t="s">
        <v>1009</v>
      </c>
      <c r="C286" s="82" t="s">
        <v>605</v>
      </c>
      <c r="D286" s="79" t="s">
        <v>132</v>
      </c>
      <c r="E286" s="79" t="s">
        <v>114</v>
      </c>
      <c r="F286" s="79" t="s">
        <v>133</v>
      </c>
      <c r="G286" s="82" t="s">
        <v>320</v>
      </c>
      <c r="H286" s="82" t="s">
        <v>264</v>
      </c>
      <c r="I286" s="82" t="s">
        <v>460</v>
      </c>
      <c r="J286" s="82" t="s">
        <v>919</v>
      </c>
      <c r="K286" s="82" t="s">
        <v>1123</v>
      </c>
    </row>
    <row r="287" spans="1:11" ht="15.75" x14ac:dyDescent="0.25">
      <c r="A287" s="87" t="s">
        <v>890</v>
      </c>
      <c r="B287" s="87" t="s">
        <v>1009</v>
      </c>
      <c r="C287" s="108" t="s">
        <v>550</v>
      </c>
      <c r="D287" s="107" t="s">
        <v>127</v>
      </c>
      <c r="E287" s="107" t="s">
        <v>128</v>
      </c>
      <c r="F287" s="107" t="s">
        <v>129</v>
      </c>
      <c r="G287" s="108" t="s">
        <v>321</v>
      </c>
      <c r="H287" s="108" t="s">
        <v>262</v>
      </c>
      <c r="I287" s="108" t="s">
        <v>458</v>
      </c>
      <c r="J287" s="108" t="s">
        <v>1021</v>
      </c>
      <c r="K287" s="108" t="s">
        <v>1140</v>
      </c>
    </row>
    <row r="288" spans="1:11" ht="15.75" x14ac:dyDescent="0.25">
      <c r="A288" s="87" t="s">
        <v>890</v>
      </c>
      <c r="B288" s="87" t="s">
        <v>1009</v>
      </c>
      <c r="C288" s="108" t="s">
        <v>551</v>
      </c>
      <c r="D288" s="107" t="s">
        <v>226</v>
      </c>
      <c r="E288" s="107" t="s">
        <v>161</v>
      </c>
      <c r="F288" s="107" t="s">
        <v>227</v>
      </c>
      <c r="G288" s="108" t="s">
        <v>321</v>
      </c>
      <c r="H288" s="108" t="s">
        <v>307</v>
      </c>
      <c r="I288" s="108" t="s">
        <v>514</v>
      </c>
      <c r="J288" s="108" t="s">
        <v>1028</v>
      </c>
      <c r="K288" s="108" t="s">
        <v>1141</v>
      </c>
    </row>
    <row r="289" spans="1:11" ht="15.75" x14ac:dyDescent="0.25">
      <c r="A289" s="87" t="s">
        <v>890</v>
      </c>
      <c r="B289" s="87" t="s">
        <v>1009</v>
      </c>
      <c r="C289" s="108" t="s">
        <v>556</v>
      </c>
      <c r="D289" s="107" t="s">
        <v>193</v>
      </c>
      <c r="E289" s="107" t="s">
        <v>383</v>
      </c>
      <c r="F289" s="107" t="s">
        <v>195</v>
      </c>
      <c r="G289" s="108" t="s">
        <v>321</v>
      </c>
      <c r="H289" s="108" t="s">
        <v>291</v>
      </c>
      <c r="I289" s="108" t="s">
        <v>494</v>
      </c>
      <c r="J289" s="108" t="s">
        <v>1025</v>
      </c>
      <c r="K289" s="108" t="s">
        <v>1142</v>
      </c>
    </row>
    <row r="290" spans="1:11" ht="28.5" x14ac:dyDescent="0.25">
      <c r="A290" s="87" t="s">
        <v>890</v>
      </c>
      <c r="B290" s="87" t="s">
        <v>1009</v>
      </c>
      <c r="C290" s="108" t="s">
        <v>53</v>
      </c>
      <c r="D290" s="107" t="s">
        <v>250</v>
      </c>
      <c r="E290" s="107" t="s">
        <v>251</v>
      </c>
      <c r="F290" s="107" t="s">
        <v>252</v>
      </c>
      <c r="G290" s="108" t="s">
        <v>321</v>
      </c>
      <c r="H290" s="108" t="s">
        <v>319</v>
      </c>
      <c r="I290" s="108" t="s">
        <v>528</v>
      </c>
      <c r="J290" s="108" t="s">
        <v>1032</v>
      </c>
      <c r="K290" s="108" t="s">
        <v>1143</v>
      </c>
    </row>
    <row r="291" spans="1:11" ht="15.75" x14ac:dyDescent="0.25">
      <c r="A291" s="87" t="s">
        <v>890</v>
      </c>
      <c r="B291" s="87" t="s">
        <v>1009</v>
      </c>
      <c r="C291" s="108" t="s">
        <v>564</v>
      </c>
      <c r="D291" s="107" t="s">
        <v>858</v>
      </c>
      <c r="E291" s="107" t="s">
        <v>185</v>
      </c>
      <c r="F291" s="107" t="s">
        <v>186</v>
      </c>
      <c r="G291" s="108" t="s">
        <v>321</v>
      </c>
      <c r="H291" s="108" t="s">
        <v>287</v>
      </c>
      <c r="I291" s="108" t="s">
        <v>490</v>
      </c>
      <c r="J291" s="108" t="s">
        <v>1024</v>
      </c>
      <c r="K291" s="108" t="s">
        <v>1144</v>
      </c>
    </row>
    <row r="292" spans="1:11" ht="15.75" x14ac:dyDescent="0.25">
      <c r="A292" s="87" t="s">
        <v>890</v>
      </c>
      <c r="B292" s="87" t="s">
        <v>1009</v>
      </c>
      <c r="C292" s="108" t="s">
        <v>960</v>
      </c>
      <c r="D292" s="107" t="s">
        <v>867</v>
      </c>
      <c r="E292" s="107" t="s">
        <v>161</v>
      </c>
      <c r="F292" s="107" t="s">
        <v>868</v>
      </c>
      <c r="G292" s="108" t="s">
        <v>321</v>
      </c>
      <c r="H292" s="108" t="s">
        <v>904</v>
      </c>
      <c r="I292" s="108" t="s">
        <v>905</v>
      </c>
      <c r="J292" s="108" t="s">
        <v>1027</v>
      </c>
      <c r="K292" s="108" t="s">
        <v>1145</v>
      </c>
    </row>
    <row r="293" spans="1:11" ht="15.75" x14ac:dyDescent="0.25">
      <c r="A293" s="87" t="s">
        <v>890</v>
      </c>
      <c r="B293" s="87" t="s">
        <v>1009</v>
      </c>
      <c r="C293" s="108" t="s">
        <v>570</v>
      </c>
      <c r="D293" s="107" t="s">
        <v>420</v>
      </c>
      <c r="E293" s="107" t="s">
        <v>421</v>
      </c>
      <c r="F293" s="107" t="s">
        <v>422</v>
      </c>
      <c r="G293" s="108" t="s">
        <v>321</v>
      </c>
      <c r="H293" s="108" t="s">
        <v>451</v>
      </c>
      <c r="I293" s="108" t="s">
        <v>516</v>
      </c>
      <c r="J293" s="108" t="s">
        <v>1029</v>
      </c>
      <c r="K293" s="108" t="s">
        <v>1146</v>
      </c>
    </row>
    <row r="294" spans="1:11" ht="15.75" x14ac:dyDescent="0.25">
      <c r="A294" s="87" t="s">
        <v>890</v>
      </c>
      <c r="B294" s="87" t="s">
        <v>1009</v>
      </c>
      <c r="C294" s="108" t="s">
        <v>573</v>
      </c>
      <c r="D294" s="107" t="s">
        <v>392</v>
      </c>
      <c r="E294" s="107" t="s">
        <v>393</v>
      </c>
      <c r="F294" s="107" t="s">
        <v>394</v>
      </c>
      <c r="G294" s="108" t="s">
        <v>321</v>
      </c>
      <c r="H294" s="108" t="s">
        <v>447</v>
      </c>
      <c r="I294" s="108" t="s">
        <v>498</v>
      </c>
      <c r="J294" s="108" t="s">
        <v>1026</v>
      </c>
      <c r="K294" s="108" t="s">
        <v>1147</v>
      </c>
    </row>
    <row r="295" spans="1:11" ht="15.75" x14ac:dyDescent="0.25">
      <c r="A295" s="87" t="s">
        <v>890</v>
      </c>
      <c r="B295" s="87" t="s">
        <v>1009</v>
      </c>
      <c r="C295" s="108" t="s">
        <v>580</v>
      </c>
      <c r="D295" s="107" t="s">
        <v>117</v>
      </c>
      <c r="E295" s="107" t="s">
        <v>118</v>
      </c>
      <c r="F295" s="107" t="s">
        <v>119</v>
      </c>
      <c r="G295" s="108" t="s">
        <v>321</v>
      </c>
      <c r="H295" s="108" t="s">
        <v>258</v>
      </c>
      <c r="I295" s="108" t="s">
        <v>454</v>
      </c>
      <c r="J295" s="108" t="s">
        <v>1020</v>
      </c>
      <c r="K295" s="108" t="s">
        <v>1148</v>
      </c>
    </row>
    <row r="296" spans="1:11" ht="15.75" x14ac:dyDescent="0.25">
      <c r="A296" s="87" t="s">
        <v>890</v>
      </c>
      <c r="B296" s="87" t="s">
        <v>1009</v>
      </c>
      <c r="C296" s="108" t="s">
        <v>581</v>
      </c>
      <c r="D296" s="107" t="s">
        <v>857</v>
      </c>
      <c r="E296" s="107" t="s">
        <v>168</v>
      </c>
      <c r="F296" s="107" t="s">
        <v>169</v>
      </c>
      <c r="G296" s="108" t="s">
        <v>321</v>
      </c>
      <c r="H296" s="108" t="s">
        <v>279</v>
      </c>
      <c r="I296" s="108" t="s">
        <v>482</v>
      </c>
      <c r="J296" s="108" t="s">
        <v>1023</v>
      </c>
      <c r="K296" s="108" t="s">
        <v>1149</v>
      </c>
    </row>
    <row r="297" spans="1:11" ht="15.75" x14ac:dyDescent="0.25">
      <c r="A297" s="87" t="s">
        <v>890</v>
      </c>
      <c r="B297" s="87" t="s">
        <v>1009</v>
      </c>
      <c r="C297" s="108" t="s">
        <v>594</v>
      </c>
      <c r="D297" s="107" t="s">
        <v>873</v>
      </c>
      <c r="E297" s="107" t="s">
        <v>194</v>
      </c>
      <c r="F297" s="107" t="s">
        <v>239</v>
      </c>
      <c r="G297" s="108" t="s">
        <v>321</v>
      </c>
      <c r="H297" s="108" t="s">
        <v>313</v>
      </c>
      <c r="I297" s="108" t="s">
        <v>521</v>
      </c>
      <c r="J297" s="108" t="s">
        <v>1030</v>
      </c>
      <c r="K297" s="108" t="s">
        <v>1150</v>
      </c>
    </row>
    <row r="298" spans="1:11" ht="15.75" x14ac:dyDescent="0.25">
      <c r="A298" s="87" t="s">
        <v>890</v>
      </c>
      <c r="B298" s="87" t="s">
        <v>1009</v>
      </c>
      <c r="C298" s="108" t="s">
        <v>79</v>
      </c>
      <c r="D298" s="107" t="s">
        <v>343</v>
      </c>
      <c r="E298" s="107" t="s">
        <v>194</v>
      </c>
      <c r="F298" s="107" t="s">
        <v>344</v>
      </c>
      <c r="G298" s="108" t="s">
        <v>321</v>
      </c>
      <c r="H298" s="108" t="s">
        <v>440</v>
      </c>
      <c r="I298" s="108" t="s">
        <v>466</v>
      </c>
      <c r="J298" s="108" t="s">
        <v>1022</v>
      </c>
      <c r="K298" s="108" t="s">
        <v>1151</v>
      </c>
    </row>
    <row r="299" spans="1:11" ht="15.75" x14ac:dyDescent="0.25">
      <c r="A299" s="87" t="s">
        <v>890</v>
      </c>
      <c r="B299" s="87" t="s">
        <v>1009</v>
      </c>
      <c r="C299" s="108" t="s">
        <v>607</v>
      </c>
      <c r="D299" s="107" t="s">
        <v>240</v>
      </c>
      <c r="E299" s="107" t="s">
        <v>161</v>
      </c>
      <c r="F299" s="107" t="s">
        <v>241</v>
      </c>
      <c r="G299" s="108" t="s">
        <v>321</v>
      </c>
      <c r="H299" s="108" t="s">
        <v>314</v>
      </c>
      <c r="I299" s="108" t="s">
        <v>522</v>
      </c>
      <c r="J299" s="108" t="s">
        <v>1031</v>
      </c>
      <c r="K299" s="108" t="s">
        <v>1152</v>
      </c>
    </row>
    <row r="300" spans="1:11" ht="15.75" x14ac:dyDescent="0.25">
      <c r="A300" s="87" t="s">
        <v>890</v>
      </c>
      <c r="B300" s="87" t="s">
        <v>1009</v>
      </c>
      <c r="C300" s="83" t="s">
        <v>967</v>
      </c>
      <c r="D300" s="81" t="s">
        <v>874</v>
      </c>
      <c r="E300" s="81" t="s">
        <v>141</v>
      </c>
      <c r="F300" s="81" t="s">
        <v>229</v>
      </c>
      <c r="G300" s="83" t="s">
        <v>253</v>
      </c>
      <c r="H300" s="83" t="s">
        <v>908</v>
      </c>
      <c r="I300" s="83" t="s">
        <v>909</v>
      </c>
      <c r="J300" s="83" t="s">
        <v>982</v>
      </c>
      <c r="K300" s="83" t="s">
        <v>1124</v>
      </c>
    </row>
    <row r="301" spans="1:11" ht="15.75" x14ac:dyDescent="0.25">
      <c r="A301" s="87" t="s">
        <v>890</v>
      </c>
      <c r="B301" s="87" t="s">
        <v>1009</v>
      </c>
      <c r="C301" s="83" t="s">
        <v>554</v>
      </c>
      <c r="D301" s="81" t="s">
        <v>210</v>
      </c>
      <c r="E301" s="81" t="s">
        <v>141</v>
      </c>
      <c r="F301" s="81" t="s">
        <v>211</v>
      </c>
      <c r="G301" s="83" t="s">
        <v>253</v>
      </c>
      <c r="H301" s="83" t="s">
        <v>299</v>
      </c>
      <c r="I301" s="83" t="s">
        <v>504</v>
      </c>
      <c r="J301" s="83" t="s">
        <v>977</v>
      </c>
      <c r="K301" s="83" t="s">
        <v>1125</v>
      </c>
    </row>
    <row r="302" spans="1:11" ht="15.75" x14ac:dyDescent="0.25">
      <c r="A302" s="87" t="s">
        <v>890</v>
      </c>
      <c r="B302" s="87" t="s">
        <v>1009</v>
      </c>
      <c r="C302" s="83" t="s">
        <v>562</v>
      </c>
      <c r="D302" s="81" t="s">
        <v>196</v>
      </c>
      <c r="E302" s="81" t="s">
        <v>141</v>
      </c>
      <c r="F302" s="81" t="s">
        <v>197</v>
      </c>
      <c r="G302" s="83" t="s">
        <v>253</v>
      </c>
      <c r="H302" s="83" t="s">
        <v>292</v>
      </c>
      <c r="I302" s="83" t="s">
        <v>495</v>
      </c>
      <c r="J302" s="83" t="s">
        <v>973</v>
      </c>
      <c r="K302" s="83" t="s">
        <v>1126</v>
      </c>
    </row>
    <row r="303" spans="1:11" ht="15.75" x14ac:dyDescent="0.25">
      <c r="A303" s="87" t="s">
        <v>890</v>
      </c>
      <c r="B303" s="87" t="s">
        <v>1009</v>
      </c>
      <c r="C303" s="83" t="s">
        <v>565</v>
      </c>
      <c r="D303" s="81" t="s">
        <v>350</v>
      </c>
      <c r="E303" s="81" t="s">
        <v>141</v>
      </c>
      <c r="F303" s="81" t="s">
        <v>351</v>
      </c>
      <c r="G303" s="83" t="s">
        <v>253</v>
      </c>
      <c r="H303" s="83" t="s">
        <v>441</v>
      </c>
      <c r="I303" s="83" t="s">
        <v>471</v>
      </c>
      <c r="J303" s="83" t="s">
        <v>970</v>
      </c>
      <c r="K303" s="83" t="s">
        <v>1127</v>
      </c>
    </row>
    <row r="304" spans="1:11" ht="15.75" x14ac:dyDescent="0.25">
      <c r="A304" s="87" t="s">
        <v>890</v>
      </c>
      <c r="B304" s="87" t="s">
        <v>1009</v>
      </c>
      <c r="C304" s="83" t="s">
        <v>83</v>
      </c>
      <c r="D304" s="81" t="s">
        <v>248</v>
      </c>
      <c r="E304" s="81" t="s">
        <v>141</v>
      </c>
      <c r="F304" s="81" t="s">
        <v>249</v>
      </c>
      <c r="G304" s="83" t="s">
        <v>253</v>
      </c>
      <c r="H304" s="83" t="s">
        <v>318</v>
      </c>
      <c r="I304" s="83" t="s">
        <v>527</v>
      </c>
      <c r="J304" s="83" t="s">
        <v>983</v>
      </c>
      <c r="K304" s="83" t="s">
        <v>1128</v>
      </c>
    </row>
    <row r="305" spans="1:11" ht="15.75" x14ac:dyDescent="0.25">
      <c r="A305" s="87" t="s">
        <v>890</v>
      </c>
      <c r="B305" s="87" t="s">
        <v>1009</v>
      </c>
      <c r="C305" s="83" t="s">
        <v>578</v>
      </c>
      <c r="D305" s="81" t="s">
        <v>236</v>
      </c>
      <c r="E305" s="81" t="s">
        <v>141</v>
      </c>
      <c r="F305" s="81" t="s">
        <v>237</v>
      </c>
      <c r="G305" s="83" t="s">
        <v>253</v>
      </c>
      <c r="H305" s="83" t="s">
        <v>312</v>
      </c>
      <c r="I305" s="83" t="s">
        <v>520</v>
      </c>
      <c r="J305" s="83" t="s">
        <v>981</v>
      </c>
      <c r="K305" s="83" t="s">
        <v>1129</v>
      </c>
    </row>
    <row r="306" spans="1:11" ht="15.75" x14ac:dyDescent="0.25">
      <c r="A306" s="87" t="s">
        <v>890</v>
      </c>
      <c r="B306" s="87" t="s">
        <v>1009</v>
      </c>
      <c r="C306" s="83" t="s">
        <v>963</v>
      </c>
      <c r="D306" s="81" t="s">
        <v>870</v>
      </c>
      <c r="E306" s="81" t="s">
        <v>141</v>
      </c>
      <c r="F306" s="81" t="s">
        <v>871</v>
      </c>
      <c r="G306" s="83" t="s">
        <v>253</v>
      </c>
      <c r="H306" s="83" t="s">
        <v>906</v>
      </c>
      <c r="I306" s="83" t="s">
        <v>907</v>
      </c>
      <c r="J306" s="83" t="s">
        <v>980</v>
      </c>
      <c r="K306" s="83" t="s">
        <v>1130</v>
      </c>
    </row>
    <row r="307" spans="1:11" ht="15.75" x14ac:dyDescent="0.25">
      <c r="A307" s="87" t="s">
        <v>890</v>
      </c>
      <c r="B307" s="87" t="s">
        <v>1009</v>
      </c>
      <c r="C307" s="83" t="s">
        <v>77</v>
      </c>
      <c r="D307" s="81" t="s">
        <v>204</v>
      </c>
      <c r="E307" s="81" t="s">
        <v>141</v>
      </c>
      <c r="F307" s="81" t="s">
        <v>205</v>
      </c>
      <c r="G307" s="83" t="s">
        <v>253</v>
      </c>
      <c r="H307" s="83" t="s">
        <v>296</v>
      </c>
      <c r="I307" s="83" t="s">
        <v>501</v>
      </c>
      <c r="J307" s="83" t="s">
        <v>976</v>
      </c>
      <c r="K307" s="83" t="s">
        <v>1131</v>
      </c>
    </row>
    <row r="308" spans="1:11" ht="15.75" x14ac:dyDescent="0.25">
      <c r="A308" s="87" t="s">
        <v>890</v>
      </c>
      <c r="B308" s="87" t="s">
        <v>1009</v>
      </c>
      <c r="C308" s="83" t="s">
        <v>92</v>
      </c>
      <c r="D308" s="81" t="s">
        <v>200</v>
      </c>
      <c r="E308" s="81" t="s">
        <v>141</v>
      </c>
      <c r="F308" s="81" t="s">
        <v>201</v>
      </c>
      <c r="G308" s="83" t="s">
        <v>253</v>
      </c>
      <c r="H308" s="83" t="s">
        <v>294</v>
      </c>
      <c r="I308" s="83" t="s">
        <v>497</v>
      </c>
      <c r="J308" s="83" t="s">
        <v>975</v>
      </c>
      <c r="K308" s="83" t="s">
        <v>1132</v>
      </c>
    </row>
    <row r="309" spans="1:11" ht="15.75" x14ac:dyDescent="0.25">
      <c r="A309" s="87" t="s">
        <v>890</v>
      </c>
      <c r="B309" s="87" t="s">
        <v>1009</v>
      </c>
      <c r="C309" s="83" t="s">
        <v>591</v>
      </c>
      <c r="D309" s="81" t="s">
        <v>140</v>
      </c>
      <c r="E309" s="81" t="s">
        <v>141</v>
      </c>
      <c r="F309" s="81" t="s">
        <v>142</v>
      </c>
      <c r="G309" s="83" t="s">
        <v>253</v>
      </c>
      <c r="H309" s="83" t="s">
        <v>268</v>
      </c>
      <c r="I309" s="83" t="s">
        <v>465</v>
      </c>
      <c r="J309" s="83" t="s">
        <v>969</v>
      </c>
      <c r="K309" s="83" t="s">
        <v>1133</v>
      </c>
    </row>
    <row r="310" spans="1:11" ht="15.75" x14ac:dyDescent="0.25">
      <c r="A310" s="87" t="s">
        <v>890</v>
      </c>
      <c r="B310" s="87" t="s">
        <v>1009</v>
      </c>
      <c r="C310" s="83" t="s">
        <v>599</v>
      </c>
      <c r="D310" s="81" t="s">
        <v>218</v>
      </c>
      <c r="E310" s="81" t="s">
        <v>141</v>
      </c>
      <c r="F310" s="81" t="s">
        <v>219</v>
      </c>
      <c r="G310" s="83" t="s">
        <v>253</v>
      </c>
      <c r="H310" s="83" t="s">
        <v>303</v>
      </c>
      <c r="I310" s="83" t="s">
        <v>509</v>
      </c>
      <c r="J310" s="83" t="s">
        <v>978</v>
      </c>
      <c r="K310" s="83" t="s">
        <v>1134</v>
      </c>
    </row>
    <row r="311" spans="1:11" ht="15.75" x14ac:dyDescent="0.25">
      <c r="A311" s="87" t="s">
        <v>890</v>
      </c>
      <c r="B311" s="87" t="s">
        <v>1009</v>
      </c>
      <c r="C311" s="83" t="s">
        <v>603</v>
      </c>
      <c r="D311" s="81" t="s">
        <v>386</v>
      </c>
      <c r="E311" s="81" t="s">
        <v>141</v>
      </c>
      <c r="F311" s="81" t="s">
        <v>388</v>
      </c>
      <c r="G311" s="83" t="s">
        <v>253</v>
      </c>
      <c r="H311" s="83" t="s">
        <v>446</v>
      </c>
      <c r="I311" s="83" t="s">
        <v>453</v>
      </c>
      <c r="J311" s="83" t="s">
        <v>974</v>
      </c>
      <c r="K311" s="83" t="s">
        <v>1135</v>
      </c>
    </row>
    <row r="312" spans="1:11" ht="15.75" x14ac:dyDescent="0.25">
      <c r="A312" s="87" t="s">
        <v>890</v>
      </c>
      <c r="B312" s="87" t="s">
        <v>1009</v>
      </c>
      <c r="C312" s="83" t="s">
        <v>606</v>
      </c>
      <c r="D312" s="81" t="s">
        <v>414</v>
      </c>
      <c r="E312" s="81" t="s">
        <v>141</v>
      </c>
      <c r="F312" s="81" t="s">
        <v>415</v>
      </c>
      <c r="G312" s="83" t="s">
        <v>253</v>
      </c>
      <c r="H312" s="83" t="s">
        <v>450</v>
      </c>
      <c r="I312" s="83" t="s">
        <v>512</v>
      </c>
      <c r="J312" s="83" t="s">
        <v>979</v>
      </c>
      <c r="K312" s="83" t="s">
        <v>1136</v>
      </c>
    </row>
    <row r="313" spans="1:11" ht="15.75" x14ac:dyDescent="0.25">
      <c r="A313" s="87" t="s">
        <v>890</v>
      </c>
      <c r="B313" s="87" t="s">
        <v>1009</v>
      </c>
      <c r="C313" s="83" t="s">
        <v>934</v>
      </c>
      <c r="D313" s="81" t="s">
        <v>854</v>
      </c>
      <c r="E313" s="81" t="s">
        <v>141</v>
      </c>
      <c r="F313" s="81" t="s">
        <v>855</v>
      </c>
      <c r="G313" s="83" t="s">
        <v>253</v>
      </c>
      <c r="H313" s="83" t="s">
        <v>897</v>
      </c>
      <c r="I313" s="83" t="s">
        <v>898</v>
      </c>
      <c r="J313" s="83" t="s">
        <v>971</v>
      </c>
      <c r="K313" s="83" t="s">
        <v>1137</v>
      </c>
    </row>
    <row r="314" spans="1:11" ht="15.75" x14ac:dyDescent="0.25">
      <c r="A314" s="87" t="s">
        <v>890</v>
      </c>
      <c r="B314" s="87" t="s">
        <v>1009</v>
      </c>
      <c r="C314" s="83" t="s">
        <v>968</v>
      </c>
      <c r="D314" s="81" t="s">
        <v>875</v>
      </c>
      <c r="E314" s="81" t="s">
        <v>141</v>
      </c>
      <c r="F314" s="81" t="s">
        <v>876</v>
      </c>
      <c r="G314" s="83" t="s">
        <v>253</v>
      </c>
      <c r="H314" s="83" t="s">
        <v>910</v>
      </c>
      <c r="I314" s="83" t="s">
        <v>911</v>
      </c>
      <c r="J314" s="83" t="s">
        <v>984</v>
      </c>
      <c r="K314" s="83" t="s">
        <v>1138</v>
      </c>
    </row>
    <row r="315" spans="1:11" ht="15.75" x14ac:dyDescent="0.25">
      <c r="A315" s="87" t="s">
        <v>890</v>
      </c>
      <c r="B315" s="87" t="s">
        <v>1009</v>
      </c>
      <c r="C315" s="83" t="s">
        <v>44</v>
      </c>
      <c r="D315" s="81" t="s">
        <v>859</v>
      </c>
      <c r="E315" s="81" t="s">
        <v>141</v>
      </c>
      <c r="F315" s="81" t="s">
        <v>188</v>
      </c>
      <c r="G315" s="83" t="s">
        <v>253</v>
      </c>
      <c r="H315" s="83" t="s">
        <v>288</v>
      </c>
      <c r="I315" s="83" t="s">
        <v>491</v>
      </c>
      <c r="J315" s="83" t="s">
        <v>972</v>
      </c>
      <c r="K315" s="83" t="s">
        <v>1139</v>
      </c>
    </row>
  </sheetData>
  <mergeCells count="1">
    <mergeCell ref="D1:K1"/>
  </mergeCells>
  <conditionalFormatting sqref="C44:C45">
    <cfRule type="expression" dxfId="146" priority="97">
      <formula>$A44="10-PositionFilled"</formula>
    </cfRule>
    <cfRule type="expression" dxfId="145" priority="98">
      <formula>$A44="3-Exclude"</formula>
    </cfRule>
    <cfRule type="expression" dxfId="144" priority="99">
      <formula>$A44="2-Qualified"</formula>
    </cfRule>
    <cfRule type="expression" dxfId="143" priority="100">
      <formula>$A44="1-OnCommittee"</formula>
    </cfRule>
  </conditionalFormatting>
  <conditionalFormatting sqref="J65">
    <cfRule type="expression" dxfId="142" priority="93">
      <formula>$A65="10-PositionFilled"</formula>
    </cfRule>
    <cfRule type="expression" dxfId="141" priority="94">
      <formula>$A65="3-Exclude"</formula>
    </cfRule>
    <cfRule type="expression" dxfId="140" priority="95">
      <formula>$A65="2-Qualified"</formula>
    </cfRule>
    <cfRule type="expression" dxfId="139" priority="96">
      <formula>$A65="1-OnCommittee"</formula>
    </cfRule>
  </conditionalFormatting>
  <conditionalFormatting sqref="A44:A46 J43:K43 C46:K46 D44:F45 K44:K45">
    <cfRule type="expression" dxfId="138" priority="101">
      <formula>$A43="10-PositionFilled"</formula>
    </cfRule>
    <cfRule type="expression" dxfId="137" priority="102">
      <formula>$A43="3-Exclude"</formula>
    </cfRule>
    <cfRule type="expression" dxfId="136" priority="103">
      <formula>$A43="2-Qualified"</formula>
    </cfRule>
    <cfRule type="expression" dxfId="135" priority="104">
      <formula>$A43="1-OnCommittee"</formula>
    </cfRule>
  </conditionalFormatting>
  <conditionalFormatting sqref="G46">
    <cfRule type="expression" dxfId="134" priority="105">
      <formula>$G46="T"</formula>
    </cfRule>
    <cfRule type="expression" dxfId="133" priority="106">
      <formula>$G46="TT"</formula>
    </cfRule>
    <cfRule type="expression" dxfId="132" priority="107">
      <formula>$G46="CF"</formula>
    </cfRule>
  </conditionalFormatting>
  <conditionalFormatting sqref="A40 C40:K40">
    <cfRule type="expression" dxfId="131" priority="89">
      <formula>$B40="Position Filled"</formula>
    </cfRule>
    <cfRule type="expression" dxfId="130" priority="90">
      <formula>$B40="Exclude"</formula>
    </cfRule>
    <cfRule type="expression" dxfId="129" priority="91">
      <formula>$B40="Qualified"</formula>
    </cfRule>
    <cfRule type="expression" dxfId="128" priority="92">
      <formula>$B40="On Committee"</formula>
    </cfRule>
  </conditionalFormatting>
  <conditionalFormatting sqref="A48:A62 C48:K62">
    <cfRule type="expression" dxfId="127" priority="85">
      <formula>$B48="Exclude"</formula>
    </cfRule>
    <cfRule type="expression" dxfId="126" priority="86">
      <formula>$B48="On Committee"</formula>
    </cfRule>
    <cfRule type="expression" dxfId="125" priority="87">
      <formula>$B48="Qualified"</formula>
    </cfRule>
    <cfRule type="expression" dxfId="124" priority="88">
      <formula>$B48="Position Filled"</formula>
    </cfRule>
  </conditionalFormatting>
  <conditionalFormatting sqref="A81:K84 A72:A80 C72:K80">
    <cfRule type="expression" dxfId="123" priority="81">
      <formula>$B72="Position Filled"</formula>
    </cfRule>
    <cfRule type="expression" dxfId="122" priority="82">
      <formula>$B72="On Committee"</formula>
    </cfRule>
    <cfRule type="expression" dxfId="121" priority="83">
      <formula>$B72="Qualified"</formula>
    </cfRule>
    <cfRule type="expression" dxfId="120" priority="84">
      <formula>$B72="Exclude"</formula>
    </cfRule>
  </conditionalFormatting>
  <conditionalFormatting sqref="J87">
    <cfRule type="expression" dxfId="119" priority="77">
      <formula>$A87="10-PositionFilled"</formula>
    </cfRule>
    <cfRule type="expression" dxfId="118" priority="78">
      <formula>$A87="3-Exclude"</formula>
    </cfRule>
    <cfRule type="expression" dxfId="117" priority="79">
      <formula>$A87="2-Qualified"</formula>
    </cfRule>
    <cfRule type="expression" dxfId="116" priority="80">
      <formula>$A87="1-OnCommittee"</formula>
    </cfRule>
  </conditionalFormatting>
  <conditionalFormatting sqref="A94:K95 C96:K97">
    <cfRule type="expression" dxfId="115" priority="73">
      <formula>$B94="Position Filled"</formula>
    </cfRule>
    <cfRule type="expression" dxfId="114" priority="74">
      <formula>$B94="On Committee"</formula>
    </cfRule>
    <cfRule type="expression" dxfId="113" priority="75">
      <formula>$B94="Qualified"</formula>
    </cfRule>
    <cfRule type="expression" dxfId="112" priority="76">
      <formula>$B94="Exclude"</formula>
    </cfRule>
  </conditionalFormatting>
  <conditionalFormatting sqref="J100">
    <cfRule type="expression" dxfId="111" priority="69">
      <formula>$A100="10-PositionFilled"</formula>
    </cfRule>
    <cfRule type="expression" dxfId="110" priority="70">
      <formula>$A100="3-Exclude"</formula>
    </cfRule>
    <cfRule type="expression" dxfId="109" priority="71">
      <formula>$A100="2-Qualified"</formula>
    </cfRule>
    <cfRule type="expression" dxfId="108" priority="72">
      <formula>$A100="1-OnCommittee"</formula>
    </cfRule>
  </conditionalFormatting>
  <conditionalFormatting sqref="C107:K110">
    <cfRule type="expression" dxfId="107" priority="65">
      <formula>$B107="Position Filled"</formula>
    </cfRule>
    <cfRule type="expression" dxfId="106" priority="66">
      <formula>$B107="On Committee"</formula>
    </cfRule>
    <cfRule type="expression" dxfId="105" priority="67">
      <formula>$B107="Qualified"</formula>
    </cfRule>
    <cfRule type="expression" dxfId="104" priority="68">
      <formula>$B107="Exclude"</formula>
    </cfRule>
  </conditionalFormatting>
  <conditionalFormatting sqref="A39 C39:K39">
    <cfRule type="expression" dxfId="103" priority="61">
      <formula>$B39="Position Filled"</formula>
    </cfRule>
    <cfRule type="expression" dxfId="102" priority="62">
      <formula>$B39="Exclude"</formula>
    </cfRule>
    <cfRule type="expression" dxfId="101" priority="63">
      <formula>$B39="Qualified"</formula>
    </cfRule>
    <cfRule type="expression" dxfId="100" priority="64">
      <formula>$B39="On Committee"</formula>
    </cfRule>
  </conditionalFormatting>
  <conditionalFormatting sqref="A38 C38:K38">
    <cfRule type="expression" dxfId="99" priority="57">
      <formula>$B38="Position Filled"</formula>
    </cfRule>
    <cfRule type="expression" dxfId="98" priority="58">
      <formula>$B38="Exclude"</formula>
    </cfRule>
    <cfRule type="expression" dxfId="97" priority="59">
      <formula>$B38="Qualified"</formula>
    </cfRule>
    <cfRule type="expression" dxfId="96" priority="60">
      <formula>$B38="On Committee"</formula>
    </cfRule>
  </conditionalFormatting>
  <conditionalFormatting sqref="A37 C37:K37">
    <cfRule type="expression" dxfId="95" priority="53">
      <formula>$B37="Position Filled"</formula>
    </cfRule>
    <cfRule type="expression" dxfId="94" priority="54">
      <formula>$B37="Exclude"</formula>
    </cfRule>
    <cfRule type="expression" dxfId="93" priority="55">
      <formula>$B37="Qualified"</formula>
    </cfRule>
    <cfRule type="expression" dxfId="92" priority="56">
      <formula>$B37="On Committee"</formula>
    </cfRule>
  </conditionalFormatting>
  <conditionalFormatting sqref="A36 C36:K36">
    <cfRule type="expression" dxfId="91" priority="49">
      <formula>$B36="Position Filled"</formula>
    </cfRule>
    <cfRule type="expression" dxfId="90" priority="50">
      <formula>$B36="Exclude"</formula>
    </cfRule>
    <cfRule type="expression" dxfId="89" priority="51">
      <formula>$B36="Qualified"</formula>
    </cfRule>
    <cfRule type="expression" dxfId="88" priority="52">
      <formula>$B36="On Committee"</formula>
    </cfRule>
  </conditionalFormatting>
  <conditionalFormatting sqref="A35 C35:K35">
    <cfRule type="expression" dxfId="87" priority="45">
      <formula>$B35="Position Filled"</formula>
    </cfRule>
    <cfRule type="expression" dxfId="86" priority="46">
      <formula>$B35="Exclude"</formula>
    </cfRule>
    <cfRule type="expression" dxfId="85" priority="47">
      <formula>$B35="Qualified"</formula>
    </cfRule>
    <cfRule type="expression" dxfId="84" priority="48">
      <formula>$B35="On Committee"</formula>
    </cfRule>
  </conditionalFormatting>
  <conditionalFormatting sqref="A34 C34:K34">
    <cfRule type="expression" dxfId="83" priority="41">
      <formula>$B34="Position Filled"</formula>
    </cfRule>
    <cfRule type="expression" dxfId="82" priority="42">
      <formula>$B34="Exclude"</formula>
    </cfRule>
    <cfRule type="expression" dxfId="81" priority="43">
      <formula>$B34="Qualified"</formula>
    </cfRule>
    <cfRule type="expression" dxfId="80" priority="44">
      <formula>$B34="On Committee"</formula>
    </cfRule>
  </conditionalFormatting>
  <conditionalFormatting sqref="A33:K33 A33:A80">
    <cfRule type="expression" dxfId="79" priority="37">
      <formula>$B33="Position Filled"</formula>
    </cfRule>
    <cfRule type="expression" dxfId="78" priority="38">
      <formula>$B33="Exclude"</formula>
    </cfRule>
    <cfRule type="expression" dxfId="77" priority="39">
      <formula>$B33="Qualified"</formula>
    </cfRule>
    <cfRule type="expression" dxfId="76" priority="40">
      <formula>$B33="On Committee"</formula>
    </cfRule>
  </conditionalFormatting>
  <conditionalFormatting sqref="B34:B80">
    <cfRule type="expression" dxfId="75" priority="33">
      <formula>$B34="Position Filled"</formula>
    </cfRule>
    <cfRule type="expression" dxfId="74" priority="34">
      <formula>$B34="Exclude"</formula>
    </cfRule>
    <cfRule type="expression" dxfId="73" priority="35">
      <formula>$B34="Qualified"</formula>
    </cfRule>
    <cfRule type="expression" dxfId="72" priority="36">
      <formula>$B34="On Committee"</formula>
    </cfRule>
  </conditionalFormatting>
  <conditionalFormatting sqref="B96:B110">
    <cfRule type="expression" dxfId="71" priority="29">
      <formula>$B96="Position Filled"</formula>
    </cfRule>
    <cfRule type="expression" dxfId="70" priority="30">
      <formula>$B96="On Committee"</formula>
    </cfRule>
    <cfRule type="expression" dxfId="69" priority="31">
      <formula>$B96="Qualified"</formula>
    </cfRule>
    <cfRule type="expression" dxfId="68" priority="32">
      <formula>$B96="Exclude"</formula>
    </cfRule>
  </conditionalFormatting>
  <conditionalFormatting sqref="A96:A110">
    <cfRule type="expression" dxfId="67" priority="25">
      <formula>$B96="Position Filled"</formula>
    </cfRule>
    <cfRule type="expression" dxfId="66" priority="26">
      <formula>$B96="On Committee"</formula>
    </cfRule>
    <cfRule type="expression" dxfId="65" priority="27">
      <formula>$B96="Qualified"</formula>
    </cfRule>
    <cfRule type="expression" dxfId="64" priority="28">
      <formula>$B96="Exclude"</formula>
    </cfRule>
  </conditionalFormatting>
  <conditionalFormatting sqref="B125:B137">
    <cfRule type="expression" dxfId="63" priority="21">
      <formula>$B125="Position Filled"</formula>
    </cfRule>
    <cfRule type="expression" dxfId="62" priority="22">
      <formula>$B125="On Committee"</formula>
    </cfRule>
    <cfRule type="expression" dxfId="61" priority="23">
      <formula>$B125="Qualified"</formula>
    </cfRule>
    <cfRule type="expression" dxfId="60" priority="24">
      <formula>$B125="Exclude"</formula>
    </cfRule>
  </conditionalFormatting>
  <conditionalFormatting sqref="A125:A137">
    <cfRule type="expression" dxfId="59" priority="17">
      <formula>$B125="Position Filled"</formula>
    </cfRule>
    <cfRule type="expression" dxfId="58" priority="18">
      <formula>$B125="On Committee"</formula>
    </cfRule>
    <cfRule type="expression" dxfId="57" priority="19">
      <formula>$B125="Qualified"</formula>
    </cfRule>
    <cfRule type="expression" dxfId="56" priority="20">
      <formula>$B125="Exclude"</formula>
    </cfRule>
  </conditionalFormatting>
  <conditionalFormatting sqref="B153:B229">
    <cfRule type="expression" dxfId="55" priority="13">
      <formula>$B153="Position Filled"</formula>
    </cfRule>
    <cfRule type="expression" dxfId="54" priority="14">
      <formula>$B153="On Committee"</formula>
    </cfRule>
    <cfRule type="expression" dxfId="53" priority="15">
      <formula>$B153="Qualified"</formula>
    </cfRule>
    <cfRule type="expression" dxfId="52" priority="16">
      <formula>$B153="Exclude"</formula>
    </cfRule>
  </conditionalFormatting>
  <conditionalFormatting sqref="A153:A229">
    <cfRule type="expression" dxfId="51" priority="9">
      <formula>$B153="Position Filled"</formula>
    </cfRule>
    <cfRule type="expression" dxfId="50" priority="10">
      <formula>$B153="On Committee"</formula>
    </cfRule>
    <cfRule type="expression" dxfId="49" priority="11">
      <formula>$B153="Qualified"</formula>
    </cfRule>
    <cfRule type="expression" dxfId="48" priority="12">
      <formula>$B153="Exclude"</formula>
    </cfRule>
  </conditionalFormatting>
  <conditionalFormatting sqref="B239:B315">
    <cfRule type="expression" dxfId="47" priority="5">
      <formula>$B239="Position Filled"</formula>
    </cfRule>
    <cfRule type="expression" dxfId="46" priority="6">
      <formula>$B239="On Committee"</formula>
    </cfRule>
    <cfRule type="expression" dxfId="45" priority="7">
      <formula>$B239="Qualified"</formula>
    </cfRule>
    <cfRule type="expression" dxfId="44" priority="8">
      <formula>$B239="Exclude"</formula>
    </cfRule>
  </conditionalFormatting>
  <conditionalFormatting sqref="A239:A315">
    <cfRule type="expression" dxfId="43" priority="1">
      <formula>$B239="Position Filled"</formula>
    </cfRule>
    <cfRule type="expression" dxfId="42" priority="2">
      <formula>$B239="On Committee"</formula>
    </cfRule>
    <cfRule type="expression" dxfId="41" priority="3">
      <formula>$B239="Qualified"</formula>
    </cfRule>
    <cfRule type="expression" dxfId="40" priority="4">
      <formula>$B239="Exclude"</formula>
    </cfRule>
  </conditionalFormatting>
  <dataValidations count="4">
    <dataValidation type="list" allowBlank="1" showInputMessage="1" showErrorMessage="1" sqref="E3:E10 E12:E13">
      <formula1>"Open, On Committee, Not available"</formula1>
    </dataValidation>
    <dataValidation type="list" allowBlank="1" showInputMessage="1" showErrorMessage="1" sqref="B33:B84 B94:B110 B125:B137 B153:B229 B239:B315">
      <formula1>"Qualified,Exclude,On Committee,Position Filled"</formula1>
    </dataValidation>
    <dataValidation type="list" showInputMessage="1" showErrorMessage="1" sqref="A33:A80">
      <formula1>"Accept,Deny,No Votes"</formula1>
    </dataValidation>
    <dataValidation type="list" allowBlank="1" showInputMessage="1" showErrorMessage="1" sqref="A81:A84 A94:A110 A125:A137 A153:A229 A239:A315">
      <formula1>"No Votes,Accept,Deny"</formula1>
    </dataValidation>
  </dataValidation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'C:\Users\cristina\Library\Containers\com.microsoft.Excel\Data\Documents\Users\cristina\Library\Containers\com.microsoft.Excel\Data\Documents\C:\Users\km193\Box\Nominations and Elections\2020\[ElectionsBallot2020.xlsx]Data-Tempates'!#REF!</xm:f>
          </x14:formula1>
          <xm:sqref>C1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15"/>
  <sheetViews>
    <sheetView zoomScale="55" zoomScaleNormal="55" workbookViewId="0"/>
  </sheetViews>
  <sheetFormatPr defaultRowHeight="14.25" x14ac:dyDescent="0.2"/>
  <cols>
    <col min="1" max="1" width="24" bestFit="1" customWidth="1"/>
    <col min="2" max="2" width="13.75" customWidth="1"/>
    <col min="3" max="3" width="56.25" customWidth="1"/>
    <col min="4" max="4" width="29" bestFit="1" customWidth="1"/>
    <col min="5" max="5" width="91.75" bestFit="1" customWidth="1"/>
    <col min="6" max="6" width="18.75" bestFit="1" customWidth="1"/>
    <col min="7" max="7" width="14.625" bestFit="1" customWidth="1"/>
    <col min="8" max="8" width="17.125" bestFit="1" customWidth="1"/>
    <col min="9" max="9" width="14.625" bestFit="1" customWidth="1"/>
    <col min="10" max="10" width="26.5" bestFit="1" customWidth="1"/>
    <col min="11" max="11" width="31.25" bestFit="1" customWidth="1"/>
  </cols>
  <sheetData>
    <row r="1" spans="1:11" ht="15.75" x14ac:dyDescent="0.25">
      <c r="A1" s="85"/>
      <c r="B1" s="85"/>
      <c r="C1" s="86" t="s">
        <v>808</v>
      </c>
      <c r="D1" s="181" t="s">
        <v>1005</v>
      </c>
      <c r="E1" s="181"/>
      <c r="F1" s="181"/>
      <c r="G1" s="181"/>
      <c r="H1" s="181"/>
      <c r="I1" s="181"/>
      <c r="J1" s="181"/>
      <c r="K1" s="181"/>
    </row>
    <row r="2" spans="1:11" ht="15.75" x14ac:dyDescent="0.25">
      <c r="A2" s="85"/>
      <c r="B2" s="85"/>
      <c r="C2" s="110" t="s">
        <v>1155</v>
      </c>
      <c r="D2" s="110" t="s">
        <v>3</v>
      </c>
      <c r="E2" s="110" t="s">
        <v>326</v>
      </c>
      <c r="F2" s="110" t="s">
        <v>1017</v>
      </c>
      <c r="G2" s="110" t="s">
        <v>322</v>
      </c>
      <c r="H2" s="110" t="s">
        <v>111</v>
      </c>
      <c r="I2" s="110" t="s">
        <v>804</v>
      </c>
      <c r="J2" s="110"/>
      <c r="K2" s="110"/>
    </row>
    <row r="3" spans="1:11" ht="15.75" x14ac:dyDescent="0.25">
      <c r="A3" s="85"/>
      <c r="B3" s="85"/>
      <c r="C3" s="4" t="s">
        <v>12</v>
      </c>
      <c r="D3" s="2" t="s">
        <v>8</v>
      </c>
      <c r="E3" s="87"/>
      <c r="F3" s="87"/>
      <c r="G3" s="87"/>
      <c r="H3" s="87"/>
      <c r="I3" s="109"/>
      <c r="J3" s="109"/>
      <c r="K3" s="109"/>
    </row>
    <row r="4" spans="1:11" ht="15.75" x14ac:dyDescent="0.25">
      <c r="A4" s="85"/>
      <c r="B4" s="85"/>
      <c r="C4" s="4" t="s">
        <v>17</v>
      </c>
      <c r="D4" s="2" t="s">
        <v>13</v>
      </c>
      <c r="E4" s="88"/>
      <c r="F4" s="87"/>
      <c r="G4" s="87"/>
      <c r="H4" s="87"/>
      <c r="I4" s="111"/>
      <c r="J4" s="112"/>
      <c r="K4" s="112"/>
    </row>
    <row r="5" spans="1:11" ht="15.75" x14ac:dyDescent="0.25">
      <c r="A5" s="85"/>
      <c r="B5" s="85"/>
      <c r="C5" s="4" t="s">
        <v>21</v>
      </c>
      <c r="D5" s="4" t="s">
        <v>18</v>
      </c>
      <c r="E5" s="87"/>
      <c r="F5" s="87"/>
      <c r="G5" s="87" t="s">
        <v>1006</v>
      </c>
      <c r="H5" s="87" t="s">
        <v>1006</v>
      </c>
      <c r="I5" s="109"/>
      <c r="J5" s="109"/>
      <c r="K5" s="109"/>
    </row>
    <row r="6" spans="1:11" ht="15.75" x14ac:dyDescent="0.25">
      <c r="A6" s="85"/>
      <c r="B6" s="85"/>
      <c r="C6" s="87"/>
      <c r="D6" s="4" t="s">
        <v>18</v>
      </c>
      <c r="E6" s="87"/>
      <c r="F6" s="87"/>
      <c r="G6" s="87" t="s">
        <v>1006</v>
      </c>
      <c r="H6" s="87" t="s">
        <v>1006</v>
      </c>
      <c r="I6" s="109"/>
      <c r="J6" s="109"/>
      <c r="K6" s="109"/>
    </row>
    <row r="7" spans="1:11" ht="15.75" x14ac:dyDescent="0.25">
      <c r="A7" s="85"/>
      <c r="B7" s="85"/>
      <c r="C7" s="87"/>
      <c r="D7" s="4" t="s">
        <v>25</v>
      </c>
      <c r="E7" s="87"/>
      <c r="F7" s="87"/>
      <c r="G7" s="87" t="s">
        <v>1006</v>
      </c>
      <c r="H7" s="87" t="s">
        <v>1006</v>
      </c>
      <c r="I7" s="109"/>
      <c r="J7" s="109"/>
      <c r="K7" s="109"/>
    </row>
    <row r="8" spans="1:11" ht="15.75" x14ac:dyDescent="0.25">
      <c r="A8" s="85"/>
      <c r="B8" s="85"/>
      <c r="C8" s="87"/>
      <c r="D8" s="4" t="s">
        <v>28</v>
      </c>
      <c r="E8" s="87"/>
      <c r="F8" s="87"/>
      <c r="G8" s="87" t="s">
        <v>1006</v>
      </c>
      <c r="H8" s="87" t="s">
        <v>1006</v>
      </c>
      <c r="I8" s="109"/>
      <c r="J8" s="109"/>
      <c r="K8" s="109"/>
    </row>
    <row r="9" spans="1:11" ht="15.75" x14ac:dyDescent="0.25">
      <c r="A9" s="85"/>
      <c r="B9" s="85"/>
      <c r="C9" s="87"/>
      <c r="D9" s="3" t="s">
        <v>18</v>
      </c>
      <c r="E9" s="87"/>
      <c r="F9" s="87"/>
      <c r="G9" s="87" t="s">
        <v>1006</v>
      </c>
      <c r="H9" s="87" t="s">
        <v>1006</v>
      </c>
      <c r="I9" s="109"/>
      <c r="J9" s="109"/>
      <c r="K9" s="109"/>
    </row>
    <row r="10" spans="1:11" ht="15.75" x14ac:dyDescent="0.25">
      <c r="A10" s="85"/>
      <c r="B10" s="85"/>
      <c r="C10" s="87"/>
      <c r="D10" s="87"/>
      <c r="E10" s="87"/>
      <c r="F10" s="87"/>
      <c r="G10" s="87" t="s">
        <v>1006</v>
      </c>
      <c r="H10" s="87"/>
      <c r="I10" s="109"/>
      <c r="J10" s="109"/>
      <c r="K10" s="109"/>
    </row>
    <row r="11" spans="1:11" ht="15.75" x14ac:dyDescent="0.25">
      <c r="A11" s="85"/>
      <c r="B11" s="85"/>
      <c r="C11" s="87"/>
      <c r="D11" s="89"/>
      <c r="E11" s="89"/>
      <c r="F11" s="87"/>
      <c r="G11" s="87"/>
      <c r="H11" s="87"/>
      <c r="I11" s="109"/>
      <c r="J11" s="109"/>
      <c r="K11" s="109"/>
    </row>
    <row r="12" spans="1:11" ht="15.75" x14ac:dyDescent="0.25">
      <c r="A12" s="85"/>
      <c r="B12" s="85"/>
      <c r="C12" s="87"/>
      <c r="D12" s="87"/>
      <c r="E12" s="87"/>
      <c r="F12" s="87"/>
      <c r="G12" s="87"/>
      <c r="H12" s="87"/>
      <c r="I12" s="109"/>
      <c r="J12" s="109"/>
      <c r="K12" s="109"/>
    </row>
    <row r="13" spans="1:11" ht="15.75" x14ac:dyDescent="0.25">
      <c r="A13" s="85"/>
      <c r="B13" s="85"/>
      <c r="C13" s="87"/>
      <c r="D13" s="87"/>
      <c r="E13" s="87"/>
      <c r="F13" s="87"/>
      <c r="G13" s="87"/>
      <c r="H13" s="87"/>
      <c r="I13" s="109"/>
      <c r="J13" s="109"/>
      <c r="K13" s="109"/>
    </row>
    <row r="14" spans="1:11" ht="15.75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</row>
    <row r="15" spans="1:11" ht="15.75" x14ac:dyDescent="0.25">
      <c r="A15" s="85"/>
      <c r="B15" s="85"/>
      <c r="C15" s="116" t="s">
        <v>1007</v>
      </c>
      <c r="D15" s="116"/>
      <c r="E15" s="116"/>
      <c r="F15" s="116"/>
      <c r="G15" s="85"/>
      <c r="H15" s="85"/>
      <c r="I15" s="85"/>
      <c r="J15" s="85"/>
      <c r="K15" s="85"/>
    </row>
    <row r="16" spans="1:11" ht="15.75" x14ac:dyDescent="0.25">
      <c r="A16" s="85"/>
      <c r="B16" s="85"/>
      <c r="C16" s="117"/>
      <c r="D16" s="117"/>
      <c r="E16" s="117"/>
      <c r="F16" s="117"/>
      <c r="G16" s="85"/>
      <c r="H16" s="85"/>
      <c r="I16" s="85"/>
      <c r="J16" s="85"/>
      <c r="K16" s="85"/>
    </row>
    <row r="17" spans="1:11" ht="15.75" x14ac:dyDescent="0.25">
      <c r="A17" s="85"/>
      <c r="B17" s="85"/>
      <c r="C17" s="90"/>
      <c r="D17" s="91" t="s">
        <v>630</v>
      </c>
      <c r="E17" s="92" t="s">
        <v>1008</v>
      </c>
      <c r="F17" s="93" t="s">
        <v>1009</v>
      </c>
      <c r="G17" s="94" t="s">
        <v>884</v>
      </c>
      <c r="H17" s="95" t="s">
        <v>1010</v>
      </c>
      <c r="I17" s="96" t="s">
        <v>635</v>
      </c>
      <c r="J17" s="97" t="s">
        <v>634</v>
      </c>
      <c r="K17" s="85"/>
    </row>
    <row r="18" spans="1:11" ht="15.75" x14ac:dyDescent="0.25">
      <c r="A18" s="85"/>
      <c r="B18" s="85"/>
      <c r="C18" s="106" t="s">
        <v>1033</v>
      </c>
      <c r="D18" s="91" t="e">
        <f>COUNTIF(#REF!,"CF")</f>
        <v>#REF!</v>
      </c>
      <c r="E18" s="92" t="e">
        <f>COUNTIF(#REF!,E17)</f>
        <v>#REF!</v>
      </c>
      <c r="F18" s="93" t="e">
        <f>COUNTIF(#REF!,F17)</f>
        <v>#REF!</v>
      </c>
      <c r="G18" s="94" t="e">
        <f>COUNTIF(#REF!,G17)</f>
        <v>#REF!</v>
      </c>
      <c r="H18" s="95" t="e">
        <f>COUNTIF(#REF!,H17)</f>
        <v>#REF!</v>
      </c>
      <c r="I18" s="96" t="e">
        <f>SUM(E18:H18)</f>
        <v>#REF!</v>
      </c>
      <c r="J18" s="148">
        <f>COUNTIF(D28:D30,"")</f>
        <v>3</v>
      </c>
      <c r="K18" s="85"/>
    </row>
    <row r="19" spans="1:11" ht="15.75" x14ac:dyDescent="0.25">
      <c r="A19" s="85"/>
      <c r="B19" s="85"/>
      <c r="C19" s="98" t="s">
        <v>1011</v>
      </c>
      <c r="D19" s="98" t="s">
        <v>529</v>
      </c>
      <c r="E19" s="98" t="s">
        <v>107</v>
      </c>
      <c r="F19" s="118" t="s">
        <v>804</v>
      </c>
      <c r="G19" s="119"/>
      <c r="H19" s="119"/>
      <c r="I19" s="119"/>
      <c r="J19" s="120"/>
      <c r="K19" s="85"/>
    </row>
    <row r="20" spans="1:11" ht="15.75" x14ac:dyDescent="0.25">
      <c r="A20" s="85"/>
      <c r="B20" s="85"/>
      <c r="C20" s="106">
        <v>1</v>
      </c>
      <c r="D20" s="106"/>
      <c r="E20" s="106"/>
      <c r="F20" s="128"/>
      <c r="G20" s="129"/>
      <c r="H20" s="129"/>
      <c r="I20" s="129"/>
      <c r="J20" s="130"/>
      <c r="K20" s="85"/>
    </row>
    <row r="21" spans="1:11" ht="15.75" x14ac:dyDescent="0.25">
      <c r="A21" s="85"/>
      <c r="B21" s="85"/>
      <c r="C21" s="106">
        <v>2</v>
      </c>
      <c r="D21" s="106"/>
      <c r="E21" s="106"/>
      <c r="F21" s="128"/>
      <c r="G21" s="129"/>
      <c r="H21" s="129"/>
      <c r="I21" s="129"/>
      <c r="J21" s="130"/>
      <c r="K21" s="85"/>
    </row>
    <row r="22" spans="1:11" ht="15.75" x14ac:dyDescent="0.25">
      <c r="A22" s="85"/>
      <c r="B22" s="85"/>
      <c r="C22" s="106">
        <v>3</v>
      </c>
      <c r="D22" s="106"/>
      <c r="E22" s="106"/>
      <c r="F22" s="128"/>
      <c r="G22" s="129"/>
      <c r="H22" s="129"/>
      <c r="I22" s="129"/>
      <c r="J22" s="130"/>
      <c r="K22" s="85"/>
    </row>
    <row r="23" spans="1:11" ht="15.75" x14ac:dyDescent="0.25">
      <c r="A23" s="85"/>
      <c r="B23" s="85"/>
      <c r="C23" s="106">
        <v>4</v>
      </c>
      <c r="D23" s="131"/>
      <c r="E23" s="131"/>
      <c r="F23" s="132"/>
      <c r="G23" s="133"/>
      <c r="H23" s="133"/>
      <c r="I23" s="133"/>
      <c r="J23" s="134"/>
      <c r="K23" s="85"/>
    </row>
    <row r="24" spans="1:11" ht="15.75" x14ac:dyDescent="0.25">
      <c r="A24" s="85"/>
      <c r="B24" s="85"/>
      <c r="C24" s="106">
        <v>5</v>
      </c>
      <c r="D24" s="106"/>
      <c r="E24" s="106"/>
      <c r="F24" s="132"/>
      <c r="G24" s="133"/>
      <c r="H24" s="133"/>
      <c r="I24" s="133"/>
      <c r="J24" s="134"/>
      <c r="K24" s="85"/>
    </row>
    <row r="25" spans="1:11" ht="15.75" x14ac:dyDescent="0.25">
      <c r="A25" s="85"/>
      <c r="B25" s="85"/>
      <c r="C25" s="106">
        <v>6</v>
      </c>
      <c r="D25" s="106"/>
      <c r="E25" s="106"/>
      <c r="F25" s="132"/>
      <c r="G25" s="133"/>
      <c r="H25" s="133"/>
      <c r="I25" s="133"/>
      <c r="J25" s="134"/>
      <c r="K25" s="85"/>
    </row>
    <row r="26" spans="1:11" ht="15.75" x14ac:dyDescent="0.25">
      <c r="A26" s="85"/>
      <c r="B26" s="85"/>
      <c r="C26" s="106">
        <v>7</v>
      </c>
      <c r="D26" s="131"/>
      <c r="E26" s="131"/>
      <c r="F26" s="132"/>
      <c r="G26" s="133"/>
      <c r="H26" s="133"/>
      <c r="I26" s="133"/>
      <c r="J26" s="134"/>
      <c r="K26" s="85"/>
    </row>
    <row r="27" spans="1:11" ht="15.75" x14ac:dyDescent="0.25">
      <c r="A27" s="85"/>
      <c r="B27" s="85"/>
      <c r="C27" s="106">
        <v>8</v>
      </c>
      <c r="D27" s="106"/>
      <c r="E27" s="106"/>
      <c r="F27" s="132"/>
      <c r="G27" s="133"/>
      <c r="H27" s="133"/>
      <c r="I27" s="133"/>
      <c r="J27" s="134"/>
      <c r="K27" s="85"/>
    </row>
    <row r="28" spans="1:11" ht="15.75" x14ac:dyDescent="0.25">
      <c r="A28" s="85"/>
      <c r="B28" s="85"/>
      <c r="C28" s="106">
        <v>9</v>
      </c>
      <c r="D28" s="131"/>
      <c r="E28" s="131"/>
      <c r="F28" s="132"/>
      <c r="G28" s="133"/>
      <c r="H28" s="133"/>
      <c r="I28" s="133"/>
      <c r="J28" s="134"/>
      <c r="K28" s="85"/>
    </row>
    <row r="29" spans="1:11" ht="15.75" x14ac:dyDescent="0.25">
      <c r="A29" s="85"/>
      <c r="B29" s="85"/>
      <c r="C29" s="106">
        <v>10</v>
      </c>
      <c r="D29" s="106"/>
      <c r="E29" s="106"/>
      <c r="F29" s="132"/>
      <c r="G29" s="133"/>
      <c r="H29" s="133"/>
      <c r="I29" s="133"/>
      <c r="J29" s="134"/>
      <c r="K29" s="85"/>
    </row>
    <row r="30" spans="1:11" ht="15.75" x14ac:dyDescent="0.25">
      <c r="A30" s="85"/>
      <c r="B30" s="85"/>
      <c r="C30" s="106">
        <v>11</v>
      </c>
      <c r="D30" s="106"/>
      <c r="E30" s="106"/>
      <c r="F30" s="132"/>
      <c r="G30" s="133"/>
      <c r="H30" s="133"/>
      <c r="I30" s="133"/>
      <c r="J30" s="134"/>
      <c r="K30" s="85"/>
    </row>
    <row r="31" spans="1:11" ht="15.75" x14ac:dyDescent="0.25">
      <c r="A31" s="85"/>
      <c r="B31" s="85"/>
      <c r="C31" s="99"/>
      <c r="D31" s="99"/>
      <c r="E31" s="99"/>
      <c r="F31" s="99"/>
      <c r="G31" s="99"/>
      <c r="H31" s="99"/>
      <c r="I31" s="99"/>
      <c r="J31" s="99"/>
      <c r="K31" s="85"/>
    </row>
    <row r="32" spans="1:11" ht="15.75" x14ac:dyDescent="0.2">
      <c r="A32" s="100" t="s">
        <v>887</v>
      </c>
      <c r="B32" s="100" t="s">
        <v>1012</v>
      </c>
      <c r="C32" s="100" t="s">
        <v>108</v>
      </c>
      <c r="D32" s="100" t="s">
        <v>802</v>
      </c>
      <c r="E32" s="100" t="s">
        <v>109</v>
      </c>
      <c r="F32" s="100" t="s">
        <v>112</v>
      </c>
      <c r="G32" s="100" t="s">
        <v>111</v>
      </c>
      <c r="H32" s="100" t="s">
        <v>255</v>
      </c>
      <c r="I32" s="100" t="s">
        <v>256</v>
      </c>
      <c r="J32" s="100" t="s">
        <v>254</v>
      </c>
      <c r="K32" s="100" t="s">
        <v>803</v>
      </c>
    </row>
    <row r="33" spans="1:11" ht="15.75" x14ac:dyDescent="0.25">
      <c r="A33" s="87" t="s">
        <v>890</v>
      </c>
      <c r="B33" s="87" t="s">
        <v>1009</v>
      </c>
      <c r="C33" s="82" t="s">
        <v>553</v>
      </c>
      <c r="D33" s="79" t="s">
        <v>164</v>
      </c>
      <c r="E33" s="79" t="s">
        <v>114</v>
      </c>
      <c r="F33" s="79" t="s">
        <v>166</v>
      </c>
      <c r="G33" s="82" t="s">
        <v>320</v>
      </c>
      <c r="H33" s="82" t="s">
        <v>278</v>
      </c>
      <c r="I33" s="82" t="s">
        <v>480</v>
      </c>
      <c r="J33" s="82" t="s">
        <v>933</v>
      </c>
      <c r="K33" s="82" t="s">
        <v>1076</v>
      </c>
    </row>
    <row r="34" spans="1:11" ht="15.75" x14ac:dyDescent="0.25">
      <c r="A34" s="87" t="s">
        <v>890</v>
      </c>
      <c r="B34" s="87" t="s">
        <v>1009</v>
      </c>
      <c r="C34" s="82" t="s">
        <v>555</v>
      </c>
      <c r="D34" s="79" t="s">
        <v>368</v>
      </c>
      <c r="E34" s="79" t="s">
        <v>165</v>
      </c>
      <c r="F34" s="79" t="s">
        <v>369</v>
      </c>
      <c r="G34" s="82" t="s">
        <v>320</v>
      </c>
      <c r="H34" s="82" t="s">
        <v>445</v>
      </c>
      <c r="I34" s="82" t="s">
        <v>481</v>
      </c>
      <c r="J34" s="82" t="s">
        <v>935</v>
      </c>
      <c r="K34" s="82" t="s">
        <v>1077</v>
      </c>
    </row>
    <row r="35" spans="1:11" ht="15.75" x14ac:dyDescent="0.25">
      <c r="A35" s="87" t="s">
        <v>890</v>
      </c>
      <c r="B35" s="87" t="s">
        <v>1009</v>
      </c>
      <c r="C35" s="82" t="s">
        <v>85</v>
      </c>
      <c r="D35" s="79" t="s">
        <v>120</v>
      </c>
      <c r="E35" s="79" t="s">
        <v>114</v>
      </c>
      <c r="F35" s="79" t="s">
        <v>121</v>
      </c>
      <c r="G35" s="82" t="s">
        <v>320</v>
      </c>
      <c r="H35" s="82" t="s">
        <v>259</v>
      </c>
      <c r="I35" s="82" t="s">
        <v>455</v>
      </c>
      <c r="J35" s="82" t="s">
        <v>913</v>
      </c>
      <c r="K35" s="82" t="s">
        <v>1078</v>
      </c>
    </row>
    <row r="36" spans="1:11" ht="15.75" x14ac:dyDescent="0.25">
      <c r="A36" s="87" t="s">
        <v>890</v>
      </c>
      <c r="B36" s="87" t="s">
        <v>1009</v>
      </c>
      <c r="C36" s="82" t="s">
        <v>557</v>
      </c>
      <c r="D36" s="79" t="s">
        <v>189</v>
      </c>
      <c r="E36" s="79" t="s">
        <v>125</v>
      </c>
      <c r="F36" s="79" t="s">
        <v>190</v>
      </c>
      <c r="G36" s="82" t="s">
        <v>320</v>
      </c>
      <c r="H36" s="82" t="s">
        <v>289</v>
      </c>
      <c r="I36" s="82" t="s">
        <v>492</v>
      </c>
      <c r="J36" s="82" t="s">
        <v>943</v>
      </c>
      <c r="K36" s="82" t="s">
        <v>1079</v>
      </c>
    </row>
    <row r="37" spans="1:11" ht="15.75" x14ac:dyDescent="0.25">
      <c r="A37" s="87" t="s">
        <v>890</v>
      </c>
      <c r="B37" s="87" t="s">
        <v>1009</v>
      </c>
      <c r="C37" s="82" t="s">
        <v>558</v>
      </c>
      <c r="D37" s="79" t="s">
        <v>159</v>
      </c>
      <c r="E37" s="79" t="s">
        <v>114</v>
      </c>
      <c r="F37" s="79" t="s">
        <v>160</v>
      </c>
      <c r="G37" s="82" t="s">
        <v>320</v>
      </c>
      <c r="H37" s="82" t="s">
        <v>276</v>
      </c>
      <c r="I37" s="82" t="s">
        <v>476</v>
      </c>
      <c r="J37" s="82" t="s">
        <v>929</v>
      </c>
      <c r="K37" s="82" t="s">
        <v>1080</v>
      </c>
    </row>
    <row r="38" spans="1:11" ht="15.75" x14ac:dyDescent="0.25">
      <c r="A38" s="87" t="s">
        <v>890</v>
      </c>
      <c r="B38" s="87" t="s">
        <v>1009</v>
      </c>
      <c r="C38" s="82" t="s">
        <v>559</v>
      </c>
      <c r="D38" s="79" t="s">
        <v>182</v>
      </c>
      <c r="E38" s="79" t="s">
        <v>125</v>
      </c>
      <c r="F38" s="79" t="s">
        <v>183</v>
      </c>
      <c r="G38" s="82" t="s">
        <v>320</v>
      </c>
      <c r="H38" s="82" t="s">
        <v>286</v>
      </c>
      <c r="I38" s="82" t="s">
        <v>489</v>
      </c>
      <c r="J38" s="82" t="s">
        <v>942</v>
      </c>
      <c r="K38" s="82" t="s">
        <v>1081</v>
      </c>
    </row>
    <row r="39" spans="1:11" ht="15.75" x14ac:dyDescent="0.25">
      <c r="A39" s="87" t="s">
        <v>890</v>
      </c>
      <c r="B39" s="87" t="s">
        <v>1009</v>
      </c>
      <c r="C39" s="82" t="s">
        <v>561</v>
      </c>
      <c r="D39" s="79" t="s">
        <v>130</v>
      </c>
      <c r="E39" s="79" t="s">
        <v>125</v>
      </c>
      <c r="F39" s="79" t="s">
        <v>131</v>
      </c>
      <c r="G39" s="82" t="s">
        <v>320</v>
      </c>
      <c r="H39" s="82" t="s">
        <v>263</v>
      </c>
      <c r="I39" s="82" t="s">
        <v>459</v>
      </c>
      <c r="J39" s="82" t="s">
        <v>918</v>
      </c>
      <c r="K39" s="82" t="s">
        <v>1082</v>
      </c>
    </row>
    <row r="40" spans="1:11" ht="15.75" x14ac:dyDescent="0.25">
      <c r="A40" s="87" t="s">
        <v>890</v>
      </c>
      <c r="B40" s="87" t="s">
        <v>1009</v>
      </c>
      <c r="C40" s="82" t="s">
        <v>563</v>
      </c>
      <c r="D40" s="79" t="s">
        <v>214</v>
      </c>
      <c r="E40" s="79" t="s">
        <v>114</v>
      </c>
      <c r="F40" s="79" t="s">
        <v>215</v>
      </c>
      <c r="G40" s="82" t="s">
        <v>320</v>
      </c>
      <c r="H40" s="82" t="s">
        <v>301</v>
      </c>
      <c r="I40" s="82" t="s">
        <v>507</v>
      </c>
      <c r="J40" s="82" t="s">
        <v>955</v>
      </c>
      <c r="K40" s="82" t="s">
        <v>1083</v>
      </c>
    </row>
    <row r="41" spans="1:11" ht="15.75" x14ac:dyDescent="0.25">
      <c r="A41" s="87" t="s">
        <v>890</v>
      </c>
      <c r="B41" s="87" t="s">
        <v>1009</v>
      </c>
      <c r="C41" s="82" t="s">
        <v>566</v>
      </c>
      <c r="D41" s="79" t="s">
        <v>146</v>
      </c>
      <c r="E41" s="79" t="s">
        <v>114</v>
      </c>
      <c r="F41" s="79" t="s">
        <v>147</v>
      </c>
      <c r="G41" s="82" t="s">
        <v>320</v>
      </c>
      <c r="H41" s="82" t="s">
        <v>270</v>
      </c>
      <c r="I41" s="82" t="s">
        <v>468</v>
      </c>
      <c r="J41" s="82" t="s">
        <v>924</v>
      </c>
      <c r="K41" s="82" t="s">
        <v>1084</v>
      </c>
    </row>
    <row r="42" spans="1:11" ht="15.75" x14ac:dyDescent="0.25">
      <c r="A42" s="87" t="s">
        <v>890</v>
      </c>
      <c r="B42" s="87" t="s">
        <v>1009</v>
      </c>
      <c r="C42" s="82" t="s">
        <v>567</v>
      </c>
      <c r="D42" s="79" t="s">
        <v>198</v>
      </c>
      <c r="E42" s="79" t="s">
        <v>125</v>
      </c>
      <c r="F42" s="79" t="s">
        <v>199</v>
      </c>
      <c r="G42" s="82" t="s">
        <v>320</v>
      </c>
      <c r="H42" s="82" t="s">
        <v>293</v>
      </c>
      <c r="I42" s="82" t="s">
        <v>496</v>
      </c>
      <c r="J42" s="82" t="s">
        <v>945</v>
      </c>
      <c r="K42" s="82" t="s">
        <v>1085</v>
      </c>
    </row>
    <row r="43" spans="1:11" ht="15.75" x14ac:dyDescent="0.25">
      <c r="A43" s="87" t="s">
        <v>890</v>
      </c>
      <c r="B43" s="87" t="s">
        <v>1009</v>
      </c>
      <c r="C43" s="82" t="s">
        <v>568</v>
      </c>
      <c r="D43" s="79" t="s">
        <v>170</v>
      </c>
      <c r="E43" s="79" t="s">
        <v>144</v>
      </c>
      <c r="F43" s="79" t="s">
        <v>171</v>
      </c>
      <c r="G43" s="82" t="s">
        <v>320</v>
      </c>
      <c r="H43" s="82" t="s">
        <v>280</v>
      </c>
      <c r="I43" s="82" t="s">
        <v>483</v>
      </c>
      <c r="J43" s="82" t="s">
        <v>936</v>
      </c>
      <c r="K43" s="82" t="s">
        <v>1086</v>
      </c>
    </row>
    <row r="44" spans="1:11" ht="15.75" x14ac:dyDescent="0.25">
      <c r="A44" s="87" t="s">
        <v>890</v>
      </c>
      <c r="B44" s="87" t="s">
        <v>1009</v>
      </c>
      <c r="C44" s="82" t="s">
        <v>569</v>
      </c>
      <c r="D44" s="79" t="s">
        <v>246</v>
      </c>
      <c r="E44" s="79" t="s">
        <v>144</v>
      </c>
      <c r="F44" s="79" t="s">
        <v>247</v>
      </c>
      <c r="G44" s="82" t="s">
        <v>320</v>
      </c>
      <c r="H44" s="82" t="s">
        <v>317</v>
      </c>
      <c r="I44" s="82" t="s">
        <v>526</v>
      </c>
      <c r="J44" s="82" t="s">
        <v>966</v>
      </c>
      <c r="K44" s="82" t="s">
        <v>1087</v>
      </c>
    </row>
    <row r="45" spans="1:11" ht="15.75" x14ac:dyDescent="0.25">
      <c r="A45" s="87" t="s">
        <v>890</v>
      </c>
      <c r="B45" s="87" t="s">
        <v>1009</v>
      </c>
      <c r="C45" s="82" t="s">
        <v>953</v>
      </c>
      <c r="D45" s="79" t="s">
        <v>863</v>
      </c>
      <c r="E45" s="79" t="s">
        <v>114</v>
      </c>
      <c r="F45" s="79" t="s">
        <v>864</v>
      </c>
      <c r="G45" s="82" t="s">
        <v>320</v>
      </c>
      <c r="H45" s="82" t="s">
        <v>901</v>
      </c>
      <c r="I45" s="82" t="s">
        <v>902</v>
      </c>
      <c r="J45" s="82" t="s">
        <v>954</v>
      </c>
      <c r="K45" s="82" t="s">
        <v>1088</v>
      </c>
    </row>
    <row r="46" spans="1:11" ht="15.75" x14ac:dyDescent="0.25">
      <c r="A46" s="87" t="s">
        <v>890</v>
      </c>
      <c r="B46" s="87" t="s">
        <v>1009</v>
      </c>
      <c r="C46" s="82" t="s">
        <v>59</v>
      </c>
      <c r="D46" s="79" t="s">
        <v>134</v>
      </c>
      <c r="E46" s="79" t="s">
        <v>125</v>
      </c>
      <c r="F46" s="79" t="s">
        <v>135</v>
      </c>
      <c r="G46" s="82" t="s">
        <v>320</v>
      </c>
      <c r="H46" s="82" t="s">
        <v>265</v>
      </c>
      <c r="I46" s="82" t="s">
        <v>462</v>
      </c>
      <c r="J46" s="82" t="s">
        <v>921</v>
      </c>
      <c r="K46" s="82" t="s">
        <v>1089</v>
      </c>
    </row>
    <row r="47" spans="1:11" ht="15.75" x14ac:dyDescent="0.25">
      <c r="A47" s="87" t="s">
        <v>890</v>
      </c>
      <c r="B47" s="87" t="s">
        <v>1009</v>
      </c>
      <c r="C47" s="82" t="s">
        <v>571</v>
      </c>
      <c r="D47" s="79" t="s">
        <v>356</v>
      </c>
      <c r="E47" s="79" t="s">
        <v>125</v>
      </c>
      <c r="F47" s="79" t="s">
        <v>357</v>
      </c>
      <c r="G47" s="82" t="s">
        <v>320</v>
      </c>
      <c r="H47" s="82" t="s">
        <v>442</v>
      </c>
      <c r="I47" s="82" t="s">
        <v>475</v>
      </c>
      <c r="J47" s="82" t="s">
        <v>928</v>
      </c>
      <c r="K47" s="82" t="s">
        <v>1090</v>
      </c>
    </row>
    <row r="48" spans="1:11" ht="15.75" x14ac:dyDescent="0.25">
      <c r="A48" s="87" t="s">
        <v>890</v>
      </c>
      <c r="B48" s="87" t="s">
        <v>1009</v>
      </c>
      <c r="C48" s="82" t="s">
        <v>572</v>
      </c>
      <c r="D48" s="79" t="s">
        <v>191</v>
      </c>
      <c r="E48" s="79" t="s">
        <v>125</v>
      </c>
      <c r="F48" s="79" t="s">
        <v>192</v>
      </c>
      <c r="G48" s="82" t="s">
        <v>320</v>
      </c>
      <c r="H48" s="82" t="s">
        <v>290</v>
      </c>
      <c r="I48" s="82" t="s">
        <v>493</v>
      </c>
      <c r="J48" s="82" t="s">
        <v>944</v>
      </c>
      <c r="K48" s="82" t="s">
        <v>1091</v>
      </c>
    </row>
    <row r="49" spans="1:11" ht="15.75" x14ac:dyDescent="0.25">
      <c r="A49" s="87" t="s">
        <v>890</v>
      </c>
      <c r="B49" s="87" t="s">
        <v>1009</v>
      </c>
      <c r="C49" s="82" t="s">
        <v>574</v>
      </c>
      <c r="D49" s="79" t="s">
        <v>397</v>
      </c>
      <c r="E49" s="79" t="s">
        <v>398</v>
      </c>
      <c r="F49" s="79" t="s">
        <v>399</v>
      </c>
      <c r="G49" s="82" t="s">
        <v>320</v>
      </c>
      <c r="H49" s="82" t="s">
        <v>448</v>
      </c>
      <c r="I49" s="82" t="s">
        <v>500</v>
      </c>
      <c r="J49" s="82" t="s">
        <v>949</v>
      </c>
      <c r="K49" s="82" t="s">
        <v>1092</v>
      </c>
    </row>
    <row r="50" spans="1:11" ht="15.75" x14ac:dyDescent="0.25">
      <c r="A50" s="87" t="s">
        <v>890</v>
      </c>
      <c r="B50" s="87" t="s">
        <v>1009</v>
      </c>
      <c r="C50" s="82" t="s">
        <v>575</v>
      </c>
      <c r="D50" s="79" t="s">
        <v>220</v>
      </c>
      <c r="E50" s="79" t="s">
        <v>114</v>
      </c>
      <c r="F50" s="79" t="s">
        <v>221</v>
      </c>
      <c r="G50" s="82" t="s">
        <v>320</v>
      </c>
      <c r="H50" s="82" t="s">
        <v>304</v>
      </c>
      <c r="I50" s="82" t="s">
        <v>510</v>
      </c>
      <c r="J50" s="82" t="s">
        <v>958</v>
      </c>
      <c r="K50" s="82" t="s">
        <v>1093</v>
      </c>
    </row>
    <row r="51" spans="1:11" ht="15.75" x14ac:dyDescent="0.25">
      <c r="A51" s="87" t="s">
        <v>890</v>
      </c>
      <c r="B51" s="87" t="s">
        <v>1009</v>
      </c>
      <c r="C51" s="82" t="s">
        <v>88</v>
      </c>
      <c r="D51" s="79" t="s">
        <v>152</v>
      </c>
      <c r="E51" s="79" t="s">
        <v>114</v>
      </c>
      <c r="F51" s="79" t="s">
        <v>153</v>
      </c>
      <c r="G51" s="82" t="s">
        <v>320</v>
      </c>
      <c r="H51" s="82" t="s">
        <v>273</v>
      </c>
      <c r="I51" s="82" t="s">
        <v>472</v>
      </c>
      <c r="J51" s="82" t="s">
        <v>927</v>
      </c>
      <c r="K51" s="82" t="s">
        <v>1094</v>
      </c>
    </row>
    <row r="52" spans="1:11" ht="15.75" x14ac:dyDescent="0.25">
      <c r="A52" s="87" t="s">
        <v>890</v>
      </c>
      <c r="B52" s="87" t="s">
        <v>1009</v>
      </c>
      <c r="C52" s="82" t="s">
        <v>579</v>
      </c>
      <c r="D52" s="79" t="s">
        <v>208</v>
      </c>
      <c r="E52" s="79" t="s">
        <v>114</v>
      </c>
      <c r="F52" s="79" t="s">
        <v>209</v>
      </c>
      <c r="G52" s="82" t="s">
        <v>320</v>
      </c>
      <c r="H52" s="82" t="s">
        <v>298</v>
      </c>
      <c r="I52" s="82" t="s">
        <v>503</v>
      </c>
      <c r="J52" s="82" t="s">
        <v>951</v>
      </c>
      <c r="K52" s="82" t="s">
        <v>1095</v>
      </c>
    </row>
    <row r="53" spans="1:11" ht="15.75" x14ac:dyDescent="0.25">
      <c r="A53" s="87" t="s">
        <v>890</v>
      </c>
      <c r="B53" s="87" t="s">
        <v>1009</v>
      </c>
      <c r="C53" s="82" t="s">
        <v>582</v>
      </c>
      <c r="D53" s="79" t="s">
        <v>222</v>
      </c>
      <c r="E53" s="79" t="s">
        <v>114</v>
      </c>
      <c r="F53" s="79" t="s">
        <v>223</v>
      </c>
      <c r="G53" s="82" t="s">
        <v>320</v>
      </c>
      <c r="H53" s="82" t="s">
        <v>305</v>
      </c>
      <c r="I53" s="82" t="s">
        <v>511</v>
      </c>
      <c r="J53" s="82" t="s">
        <v>959</v>
      </c>
      <c r="K53" s="82" t="s">
        <v>1096</v>
      </c>
    </row>
    <row r="54" spans="1:11" ht="15.75" x14ac:dyDescent="0.25">
      <c r="A54" s="87" t="s">
        <v>890</v>
      </c>
      <c r="B54" s="87" t="s">
        <v>1009</v>
      </c>
      <c r="C54" s="82" t="s">
        <v>583</v>
      </c>
      <c r="D54" s="79" t="s">
        <v>122</v>
      </c>
      <c r="E54" s="79" t="s">
        <v>114</v>
      </c>
      <c r="F54" s="79" t="s">
        <v>123</v>
      </c>
      <c r="G54" s="82" t="s">
        <v>320</v>
      </c>
      <c r="H54" s="82" t="s">
        <v>260</v>
      </c>
      <c r="I54" s="82" t="s">
        <v>456</v>
      </c>
      <c r="J54" s="82" t="s">
        <v>914</v>
      </c>
      <c r="K54" s="82" t="s">
        <v>1097</v>
      </c>
    </row>
    <row r="55" spans="1:11" ht="15.75" x14ac:dyDescent="0.25">
      <c r="A55" s="87" t="s">
        <v>890</v>
      </c>
      <c r="B55" s="87" t="s">
        <v>1009</v>
      </c>
      <c r="C55" s="82" t="s">
        <v>915</v>
      </c>
      <c r="D55" s="79" t="s">
        <v>851</v>
      </c>
      <c r="E55" s="79" t="s">
        <v>114</v>
      </c>
      <c r="F55" s="79" t="s">
        <v>852</v>
      </c>
      <c r="G55" s="82" t="s">
        <v>320</v>
      </c>
      <c r="H55" s="82" t="s">
        <v>894</v>
      </c>
      <c r="I55" s="82" t="s">
        <v>895</v>
      </c>
      <c r="J55" s="82" t="s">
        <v>916</v>
      </c>
      <c r="K55" s="82" t="s">
        <v>1098</v>
      </c>
    </row>
    <row r="56" spans="1:11" ht="15.75" x14ac:dyDescent="0.25">
      <c r="A56" s="87" t="s">
        <v>890</v>
      </c>
      <c r="B56" s="87" t="s">
        <v>1009</v>
      </c>
      <c r="C56" s="82" t="s">
        <v>584</v>
      </c>
      <c r="D56" s="79" t="s">
        <v>364</v>
      </c>
      <c r="E56" s="79" t="s">
        <v>144</v>
      </c>
      <c r="F56" s="79" t="s">
        <v>365</v>
      </c>
      <c r="G56" s="82" t="s">
        <v>320</v>
      </c>
      <c r="H56" s="82" t="s">
        <v>444</v>
      </c>
      <c r="I56" s="82" t="s">
        <v>479</v>
      </c>
      <c r="J56" s="82" t="s">
        <v>932</v>
      </c>
      <c r="K56" s="82" t="s">
        <v>1099</v>
      </c>
    </row>
    <row r="57" spans="1:11" ht="15.75" x14ac:dyDescent="0.25">
      <c r="A57" s="87" t="s">
        <v>890</v>
      </c>
      <c r="B57" s="87" t="s">
        <v>1009</v>
      </c>
      <c r="C57" s="82" t="s">
        <v>586</v>
      </c>
      <c r="D57" s="79" t="s">
        <v>174</v>
      </c>
      <c r="E57" s="79" t="s">
        <v>114</v>
      </c>
      <c r="F57" s="79" t="s">
        <v>175</v>
      </c>
      <c r="G57" s="82" t="s">
        <v>320</v>
      </c>
      <c r="H57" s="82" t="s">
        <v>282</v>
      </c>
      <c r="I57" s="82" t="s">
        <v>485</v>
      </c>
      <c r="J57" s="82" t="s">
        <v>938</v>
      </c>
      <c r="K57" s="82" t="s">
        <v>1100</v>
      </c>
    </row>
    <row r="58" spans="1:11" ht="15.75" x14ac:dyDescent="0.25">
      <c r="A58" s="87" t="s">
        <v>890</v>
      </c>
      <c r="B58" s="87" t="s">
        <v>1009</v>
      </c>
      <c r="C58" s="82" t="s">
        <v>587</v>
      </c>
      <c r="D58" s="79" t="s">
        <v>138</v>
      </c>
      <c r="E58" s="79" t="s">
        <v>114</v>
      </c>
      <c r="F58" s="79" t="s">
        <v>139</v>
      </c>
      <c r="G58" s="82" t="s">
        <v>320</v>
      </c>
      <c r="H58" s="82" t="s">
        <v>267</v>
      </c>
      <c r="I58" s="82" t="s">
        <v>464</v>
      </c>
      <c r="J58" s="82" t="s">
        <v>922</v>
      </c>
      <c r="K58" s="82" t="s">
        <v>1101</v>
      </c>
    </row>
    <row r="59" spans="1:11" ht="15.75" x14ac:dyDescent="0.25">
      <c r="A59" s="87" t="s">
        <v>890</v>
      </c>
      <c r="B59" s="87" t="s">
        <v>1009</v>
      </c>
      <c r="C59" s="82" t="s">
        <v>588</v>
      </c>
      <c r="D59" s="79" t="s">
        <v>232</v>
      </c>
      <c r="E59" s="79" t="s">
        <v>125</v>
      </c>
      <c r="F59" s="79" t="s">
        <v>233</v>
      </c>
      <c r="G59" s="82" t="s">
        <v>320</v>
      </c>
      <c r="H59" s="82" t="s">
        <v>310</v>
      </c>
      <c r="I59" s="82" t="s">
        <v>518</v>
      </c>
      <c r="J59" s="82" t="s">
        <v>962</v>
      </c>
      <c r="K59" s="82" t="s">
        <v>1102</v>
      </c>
    </row>
    <row r="60" spans="1:11" ht="15.75" x14ac:dyDescent="0.25">
      <c r="A60" s="87" t="s">
        <v>890</v>
      </c>
      <c r="B60" s="87" t="s">
        <v>1009</v>
      </c>
      <c r="C60" s="82" t="s">
        <v>589</v>
      </c>
      <c r="D60" s="79" t="s">
        <v>172</v>
      </c>
      <c r="E60" s="79" t="s">
        <v>125</v>
      </c>
      <c r="F60" s="79" t="s">
        <v>173</v>
      </c>
      <c r="G60" s="82" t="s">
        <v>320</v>
      </c>
      <c r="H60" s="82" t="s">
        <v>281</v>
      </c>
      <c r="I60" s="82" t="s">
        <v>484</v>
      </c>
      <c r="J60" s="82" t="s">
        <v>937</v>
      </c>
      <c r="K60" s="82" t="s">
        <v>1103</v>
      </c>
    </row>
    <row r="61" spans="1:11" ht="15.75" x14ac:dyDescent="0.25">
      <c r="A61" s="87" t="s">
        <v>890</v>
      </c>
      <c r="B61" s="87" t="s">
        <v>1009</v>
      </c>
      <c r="C61" s="82" t="s">
        <v>590</v>
      </c>
      <c r="D61" s="79" t="s">
        <v>202</v>
      </c>
      <c r="E61" s="79" t="s">
        <v>114</v>
      </c>
      <c r="F61" s="79" t="s">
        <v>203</v>
      </c>
      <c r="G61" s="82" t="s">
        <v>320</v>
      </c>
      <c r="H61" s="82" t="s">
        <v>295</v>
      </c>
      <c r="I61" s="82" t="s">
        <v>499</v>
      </c>
      <c r="J61" s="82" t="s">
        <v>948</v>
      </c>
      <c r="K61" s="82" t="s">
        <v>1104</v>
      </c>
    </row>
    <row r="62" spans="1:11" ht="15.75" x14ac:dyDescent="0.25">
      <c r="A62" s="87" t="s">
        <v>890</v>
      </c>
      <c r="B62" s="87" t="s">
        <v>1009</v>
      </c>
      <c r="C62" s="82" t="s">
        <v>69</v>
      </c>
      <c r="D62" s="79" t="s">
        <v>124</v>
      </c>
      <c r="E62" s="79" t="s">
        <v>125</v>
      </c>
      <c r="F62" s="79" t="s">
        <v>126</v>
      </c>
      <c r="G62" s="82" t="s">
        <v>320</v>
      </c>
      <c r="H62" s="82" t="s">
        <v>261</v>
      </c>
      <c r="I62" s="82" t="s">
        <v>457</v>
      </c>
      <c r="J62" s="82" t="s">
        <v>917</v>
      </c>
      <c r="K62" s="82" t="s">
        <v>1105</v>
      </c>
    </row>
    <row r="63" spans="1:11" ht="15.75" x14ac:dyDescent="0.25">
      <c r="A63" s="87" t="s">
        <v>890</v>
      </c>
      <c r="B63" s="87" t="s">
        <v>1009</v>
      </c>
      <c r="C63" s="82" t="s">
        <v>64</v>
      </c>
      <c r="D63" s="79" t="s">
        <v>242</v>
      </c>
      <c r="E63" s="79" t="s">
        <v>125</v>
      </c>
      <c r="F63" s="79" t="s">
        <v>243</v>
      </c>
      <c r="G63" s="82" t="s">
        <v>320</v>
      </c>
      <c r="H63" s="82" t="s">
        <v>315</v>
      </c>
      <c r="I63" s="82" t="s">
        <v>523</v>
      </c>
      <c r="J63" s="82" t="s">
        <v>964</v>
      </c>
      <c r="K63" s="82" t="s">
        <v>1106</v>
      </c>
    </row>
    <row r="64" spans="1:11" ht="15.75" x14ac:dyDescent="0.25">
      <c r="A64" s="87" t="s">
        <v>890</v>
      </c>
      <c r="B64" s="87" t="s">
        <v>1009</v>
      </c>
      <c r="C64" s="82" t="s">
        <v>592</v>
      </c>
      <c r="D64" s="79" t="s">
        <v>206</v>
      </c>
      <c r="E64" s="79" t="s">
        <v>165</v>
      </c>
      <c r="F64" s="79" t="s">
        <v>207</v>
      </c>
      <c r="G64" s="82" t="s">
        <v>320</v>
      </c>
      <c r="H64" s="82" t="s">
        <v>297</v>
      </c>
      <c r="I64" s="82" t="s">
        <v>502</v>
      </c>
      <c r="J64" s="82" t="s">
        <v>950</v>
      </c>
      <c r="K64" s="82" t="s">
        <v>1107</v>
      </c>
    </row>
    <row r="65" spans="1:11" ht="15.75" x14ac:dyDescent="0.25">
      <c r="A65" s="87" t="s">
        <v>890</v>
      </c>
      <c r="B65" s="87" t="s">
        <v>1009</v>
      </c>
      <c r="C65" s="82" t="s">
        <v>41</v>
      </c>
      <c r="D65" s="79" t="s">
        <v>150</v>
      </c>
      <c r="E65" s="79" t="s">
        <v>114</v>
      </c>
      <c r="F65" s="79" t="s">
        <v>151</v>
      </c>
      <c r="G65" s="82" t="s">
        <v>320</v>
      </c>
      <c r="H65" s="82" t="s">
        <v>272</v>
      </c>
      <c r="I65" s="82" t="s">
        <v>470</v>
      </c>
      <c r="J65" s="82" t="s">
        <v>926</v>
      </c>
      <c r="K65" s="82" t="s">
        <v>1108</v>
      </c>
    </row>
    <row r="66" spans="1:11" ht="15.75" x14ac:dyDescent="0.25">
      <c r="A66" s="87" t="s">
        <v>890</v>
      </c>
      <c r="B66" s="87" t="s">
        <v>1009</v>
      </c>
      <c r="C66" s="82" t="s">
        <v>593</v>
      </c>
      <c r="D66" s="79" t="s">
        <v>180</v>
      </c>
      <c r="E66" s="79" t="s">
        <v>114</v>
      </c>
      <c r="F66" s="79" t="s">
        <v>181</v>
      </c>
      <c r="G66" s="82" t="s">
        <v>320</v>
      </c>
      <c r="H66" s="82" t="s">
        <v>285</v>
      </c>
      <c r="I66" s="82" t="s">
        <v>488</v>
      </c>
      <c r="J66" s="82" t="s">
        <v>941</v>
      </c>
      <c r="K66" s="82" t="s">
        <v>1109</v>
      </c>
    </row>
    <row r="67" spans="1:11" ht="15.75" x14ac:dyDescent="0.25">
      <c r="A67" s="87" t="s">
        <v>890</v>
      </c>
      <c r="B67" s="87" t="s">
        <v>1009</v>
      </c>
      <c r="C67" s="82" t="s">
        <v>946</v>
      </c>
      <c r="D67" s="79" t="s">
        <v>860</v>
      </c>
      <c r="E67" s="79" t="s">
        <v>144</v>
      </c>
      <c r="F67" s="79" t="s">
        <v>861</v>
      </c>
      <c r="G67" s="82" t="s">
        <v>320</v>
      </c>
      <c r="H67" s="82" t="s">
        <v>899</v>
      </c>
      <c r="I67" s="82" t="s">
        <v>900</v>
      </c>
      <c r="J67" s="82" t="s">
        <v>947</v>
      </c>
      <c r="K67" s="82" t="s">
        <v>1110</v>
      </c>
    </row>
    <row r="68" spans="1:11" ht="15.75" x14ac:dyDescent="0.25">
      <c r="A68" s="87" t="s">
        <v>890</v>
      </c>
      <c r="B68" s="87" t="s">
        <v>1009</v>
      </c>
      <c r="C68" s="82" t="s">
        <v>29</v>
      </c>
      <c r="D68" s="79" t="s">
        <v>230</v>
      </c>
      <c r="E68" s="79" t="s">
        <v>114</v>
      </c>
      <c r="F68" s="79" t="s">
        <v>231</v>
      </c>
      <c r="G68" s="82" t="s">
        <v>320</v>
      </c>
      <c r="H68" s="82" t="s">
        <v>309</v>
      </c>
      <c r="I68" s="82" t="s">
        <v>517</v>
      </c>
      <c r="J68" s="82" t="s">
        <v>961</v>
      </c>
      <c r="K68" s="82" t="s">
        <v>1111</v>
      </c>
    </row>
    <row r="69" spans="1:11" ht="15.75" x14ac:dyDescent="0.25">
      <c r="A69" s="87" t="s">
        <v>890</v>
      </c>
      <c r="B69" s="87" t="s">
        <v>1009</v>
      </c>
      <c r="C69" s="82" t="s">
        <v>595</v>
      </c>
      <c r="D69" s="79" t="s">
        <v>360</v>
      </c>
      <c r="E69" s="79" t="s">
        <v>165</v>
      </c>
      <c r="F69" s="79" t="s">
        <v>361</v>
      </c>
      <c r="G69" s="82" t="s">
        <v>320</v>
      </c>
      <c r="H69" s="82" t="s">
        <v>443</v>
      </c>
      <c r="I69" s="82" t="s">
        <v>477</v>
      </c>
      <c r="J69" s="82" t="s">
        <v>930</v>
      </c>
      <c r="K69" s="82" t="s">
        <v>1112</v>
      </c>
    </row>
    <row r="70" spans="1:11" ht="15.75" x14ac:dyDescent="0.25">
      <c r="A70" s="87" t="s">
        <v>890</v>
      </c>
      <c r="B70" s="87" t="s">
        <v>1009</v>
      </c>
      <c r="C70" s="82" t="s">
        <v>596</v>
      </c>
      <c r="D70" s="79" t="s">
        <v>212</v>
      </c>
      <c r="E70" s="79" t="s">
        <v>114</v>
      </c>
      <c r="F70" s="79" t="s">
        <v>213</v>
      </c>
      <c r="G70" s="82" t="s">
        <v>320</v>
      </c>
      <c r="H70" s="82" t="s">
        <v>300</v>
      </c>
      <c r="I70" s="82" t="s">
        <v>505</v>
      </c>
      <c r="J70" s="82" t="s">
        <v>952</v>
      </c>
      <c r="K70" s="82" t="s">
        <v>1113</v>
      </c>
    </row>
    <row r="71" spans="1:11" ht="15.75" x14ac:dyDescent="0.25">
      <c r="A71" s="87" t="s">
        <v>890</v>
      </c>
      <c r="B71" s="87" t="s">
        <v>1009</v>
      </c>
      <c r="C71" s="82" t="s">
        <v>597</v>
      </c>
      <c r="D71" s="79" t="s">
        <v>432</v>
      </c>
      <c r="E71" s="79" t="s">
        <v>165</v>
      </c>
      <c r="F71" s="79" t="s">
        <v>433</v>
      </c>
      <c r="G71" s="82" t="s">
        <v>320</v>
      </c>
      <c r="H71" s="82" t="s">
        <v>452</v>
      </c>
      <c r="I71" s="82" t="s">
        <v>524</v>
      </c>
      <c r="J71" s="82" t="s">
        <v>965</v>
      </c>
      <c r="K71" s="82" t="s">
        <v>1114</v>
      </c>
    </row>
    <row r="72" spans="1:11" ht="15.75" x14ac:dyDescent="0.25">
      <c r="A72" s="87" t="s">
        <v>890</v>
      </c>
      <c r="B72" s="87" t="s">
        <v>1009</v>
      </c>
      <c r="C72" s="82" t="s">
        <v>598</v>
      </c>
      <c r="D72" s="79" t="s">
        <v>336</v>
      </c>
      <c r="E72" s="79" t="s">
        <v>114</v>
      </c>
      <c r="F72" s="79" t="s">
        <v>337</v>
      </c>
      <c r="G72" s="82" t="s">
        <v>320</v>
      </c>
      <c r="H72" s="82" t="s">
        <v>439</v>
      </c>
      <c r="I72" s="82" t="s">
        <v>461</v>
      </c>
      <c r="J72" s="82" t="s">
        <v>920</v>
      </c>
      <c r="K72" s="82" t="s">
        <v>1115</v>
      </c>
    </row>
    <row r="73" spans="1:11" ht="15.75" x14ac:dyDescent="0.25">
      <c r="A73" s="87" t="s">
        <v>890</v>
      </c>
      <c r="B73" s="87" t="s">
        <v>1009</v>
      </c>
      <c r="C73" s="82" t="s">
        <v>76</v>
      </c>
      <c r="D73" s="79" t="s">
        <v>178</v>
      </c>
      <c r="E73" s="79" t="s">
        <v>125</v>
      </c>
      <c r="F73" s="79" t="s">
        <v>179</v>
      </c>
      <c r="G73" s="82" t="s">
        <v>320</v>
      </c>
      <c r="H73" s="82" t="s">
        <v>284</v>
      </c>
      <c r="I73" s="82" t="s">
        <v>487</v>
      </c>
      <c r="J73" s="82" t="s">
        <v>940</v>
      </c>
      <c r="K73" s="82" t="s">
        <v>1116</v>
      </c>
    </row>
    <row r="74" spans="1:11" ht="15.75" x14ac:dyDescent="0.25">
      <c r="A74" s="87" t="s">
        <v>890</v>
      </c>
      <c r="B74" s="87" t="s">
        <v>1009</v>
      </c>
      <c r="C74" s="82" t="s">
        <v>62</v>
      </c>
      <c r="D74" s="79" t="s">
        <v>143</v>
      </c>
      <c r="E74" s="79" t="s">
        <v>144</v>
      </c>
      <c r="F74" s="79" t="s">
        <v>145</v>
      </c>
      <c r="G74" s="82" t="s">
        <v>320</v>
      </c>
      <c r="H74" s="82" t="s">
        <v>269</v>
      </c>
      <c r="I74" s="82" t="s">
        <v>467</v>
      </c>
      <c r="J74" s="82" t="s">
        <v>923</v>
      </c>
      <c r="K74" s="82" t="s">
        <v>1117</v>
      </c>
    </row>
    <row r="75" spans="1:11" ht="15.75" x14ac:dyDescent="0.25">
      <c r="A75" s="87" t="s">
        <v>890</v>
      </c>
      <c r="B75" s="87" t="s">
        <v>1009</v>
      </c>
      <c r="C75" s="82" t="s">
        <v>956</v>
      </c>
      <c r="D75" s="79" t="s">
        <v>866</v>
      </c>
      <c r="E75" s="79" t="s">
        <v>125</v>
      </c>
      <c r="F75" s="79" t="s">
        <v>217</v>
      </c>
      <c r="G75" s="82" t="s">
        <v>320</v>
      </c>
      <c r="H75" s="82" t="s">
        <v>302</v>
      </c>
      <c r="I75" s="82" t="s">
        <v>903</v>
      </c>
      <c r="J75" s="82" t="s">
        <v>957</v>
      </c>
      <c r="K75" s="82" t="s">
        <v>1118</v>
      </c>
    </row>
    <row r="76" spans="1:11" ht="15.75" x14ac:dyDescent="0.25">
      <c r="A76" s="87" t="s">
        <v>890</v>
      </c>
      <c r="B76" s="87" t="s">
        <v>1009</v>
      </c>
      <c r="C76" s="82" t="s">
        <v>601</v>
      </c>
      <c r="D76" s="79" t="s">
        <v>162</v>
      </c>
      <c r="E76" s="79" t="s">
        <v>114</v>
      </c>
      <c r="F76" s="79" t="s">
        <v>163</v>
      </c>
      <c r="G76" s="82" t="s">
        <v>320</v>
      </c>
      <c r="H76" s="82" t="s">
        <v>277</v>
      </c>
      <c r="I76" s="82" t="s">
        <v>478</v>
      </c>
      <c r="J76" s="82" t="s">
        <v>931</v>
      </c>
      <c r="K76" s="82" t="s">
        <v>1119</v>
      </c>
    </row>
    <row r="77" spans="1:11" ht="15.75" x14ac:dyDescent="0.25">
      <c r="A77" s="87" t="s">
        <v>890</v>
      </c>
      <c r="B77" s="87" t="s">
        <v>1009</v>
      </c>
      <c r="C77" s="82" t="s">
        <v>602</v>
      </c>
      <c r="D77" s="79" t="s">
        <v>176</v>
      </c>
      <c r="E77" s="79" t="s">
        <v>114</v>
      </c>
      <c r="F77" s="79" t="s">
        <v>177</v>
      </c>
      <c r="G77" s="82" t="s">
        <v>320</v>
      </c>
      <c r="H77" s="82" t="s">
        <v>283</v>
      </c>
      <c r="I77" s="82" t="s">
        <v>486</v>
      </c>
      <c r="J77" s="82" t="s">
        <v>939</v>
      </c>
      <c r="K77" s="82" t="s">
        <v>1120</v>
      </c>
    </row>
    <row r="78" spans="1:11" ht="15.75" x14ac:dyDescent="0.25">
      <c r="A78" s="87" t="s">
        <v>890</v>
      </c>
      <c r="B78" s="87" t="s">
        <v>1009</v>
      </c>
      <c r="C78" s="82" t="s">
        <v>38</v>
      </c>
      <c r="D78" s="79" t="s">
        <v>113</v>
      </c>
      <c r="E78" s="79" t="s">
        <v>114</v>
      </c>
      <c r="F78" s="79" t="s">
        <v>116</v>
      </c>
      <c r="G78" s="82" t="s">
        <v>320</v>
      </c>
      <c r="H78" s="82" t="s">
        <v>257</v>
      </c>
      <c r="I78" s="82" t="s">
        <v>453</v>
      </c>
      <c r="J78" s="82" t="s">
        <v>912</v>
      </c>
      <c r="K78" s="82" t="s">
        <v>1121</v>
      </c>
    </row>
    <row r="79" spans="1:11" ht="15.75" x14ac:dyDescent="0.25">
      <c r="A79" s="87" t="s">
        <v>890</v>
      </c>
      <c r="B79" s="87" t="s">
        <v>1009</v>
      </c>
      <c r="C79" s="82" t="s">
        <v>604</v>
      </c>
      <c r="D79" s="79" t="s">
        <v>148</v>
      </c>
      <c r="E79" s="79" t="s">
        <v>144</v>
      </c>
      <c r="F79" s="79" t="s">
        <v>149</v>
      </c>
      <c r="G79" s="82" t="s">
        <v>320</v>
      </c>
      <c r="H79" s="82" t="s">
        <v>271</v>
      </c>
      <c r="I79" s="82" t="s">
        <v>469</v>
      </c>
      <c r="J79" s="82" t="s">
        <v>925</v>
      </c>
      <c r="K79" s="82" t="s">
        <v>1122</v>
      </c>
    </row>
    <row r="80" spans="1:11" ht="15.75" x14ac:dyDescent="0.25">
      <c r="A80" s="87" t="s">
        <v>890</v>
      </c>
      <c r="B80" s="87" t="s">
        <v>1009</v>
      </c>
      <c r="C80" s="82" t="s">
        <v>605</v>
      </c>
      <c r="D80" s="79" t="s">
        <v>132</v>
      </c>
      <c r="E80" s="79" t="s">
        <v>114</v>
      </c>
      <c r="F80" s="79" t="s">
        <v>133</v>
      </c>
      <c r="G80" s="82" t="s">
        <v>320</v>
      </c>
      <c r="H80" s="82" t="s">
        <v>264</v>
      </c>
      <c r="I80" s="82" t="s">
        <v>460</v>
      </c>
      <c r="J80" s="82" t="s">
        <v>919</v>
      </c>
      <c r="K80" s="82" t="s">
        <v>1123</v>
      </c>
    </row>
    <row r="81" spans="1:11" ht="15.75" x14ac:dyDescent="0.25">
      <c r="A81" s="85"/>
      <c r="B81" s="85"/>
      <c r="C81" s="85"/>
      <c r="D81" s="85"/>
      <c r="E81" s="85"/>
      <c r="F81" s="85"/>
      <c r="G81" s="85"/>
      <c r="H81" s="85"/>
      <c r="I81" s="85"/>
      <c r="J81" s="85"/>
      <c r="K81" s="85"/>
    </row>
    <row r="82" spans="1:11" ht="15.75" x14ac:dyDescent="0.25">
      <c r="A82" s="85"/>
      <c r="B82" s="85"/>
      <c r="C82" s="85"/>
      <c r="D82" s="91" t="s">
        <v>632</v>
      </c>
      <c r="E82" s="92" t="s">
        <v>1008</v>
      </c>
      <c r="F82" s="93" t="s">
        <v>1009</v>
      </c>
      <c r="G82" s="94" t="s">
        <v>884</v>
      </c>
      <c r="H82" s="95" t="s">
        <v>1010</v>
      </c>
      <c r="I82" s="96" t="s">
        <v>635</v>
      </c>
      <c r="J82" s="97" t="s">
        <v>634</v>
      </c>
      <c r="K82" s="85"/>
    </row>
    <row r="83" spans="1:11" ht="15.75" x14ac:dyDescent="0.25">
      <c r="A83" s="85"/>
      <c r="B83" s="149"/>
      <c r="C83" s="127" t="s">
        <v>1034</v>
      </c>
      <c r="D83" s="91" t="e">
        <f>COUNTIF(#REF!,"TT")</f>
        <v>#REF!</v>
      </c>
      <c r="E83" s="92" t="e">
        <f>COUNTIF(#REF!,E82)</f>
        <v>#REF!</v>
      </c>
      <c r="F83" s="93" t="e">
        <f>COUNTIF(#REF!,F82)</f>
        <v>#REF!</v>
      </c>
      <c r="G83" s="94" t="e">
        <f>COUNTIF(#REF!,G82)</f>
        <v>#REF!</v>
      </c>
      <c r="H83" s="95" t="e">
        <f>COUNTIF(#REF!,H82)</f>
        <v>#REF!</v>
      </c>
      <c r="I83" s="96" t="e">
        <f>SUM(E83:H83)</f>
        <v>#REF!</v>
      </c>
      <c r="J83" s="150">
        <f>COUNTIF(D92,"")</f>
        <v>1</v>
      </c>
      <c r="K83" s="151"/>
    </row>
    <row r="84" spans="1:11" ht="15" x14ac:dyDescent="0.25">
      <c r="A84" s="101"/>
      <c r="B84" s="149"/>
      <c r="C84" s="102" t="s">
        <v>631</v>
      </c>
      <c r="D84" s="102" t="s">
        <v>529</v>
      </c>
      <c r="E84" s="103" t="s">
        <v>107</v>
      </c>
      <c r="F84" s="121" t="s">
        <v>804</v>
      </c>
      <c r="G84" s="122"/>
      <c r="H84" s="122"/>
      <c r="I84" s="122"/>
      <c r="J84" s="123"/>
      <c r="K84" s="151"/>
    </row>
    <row r="85" spans="1:11" ht="15" x14ac:dyDescent="0.25">
      <c r="A85" s="151"/>
      <c r="B85" s="149"/>
      <c r="C85" s="152">
        <v>1</v>
      </c>
      <c r="D85" s="104"/>
      <c r="E85" s="153"/>
      <c r="F85" s="154"/>
      <c r="G85" s="155"/>
      <c r="H85" s="155"/>
      <c r="I85" s="155"/>
      <c r="J85" s="156"/>
      <c r="K85" s="151"/>
    </row>
    <row r="86" spans="1:11" ht="15" x14ac:dyDescent="0.25">
      <c r="A86" s="151"/>
      <c r="B86" s="149"/>
      <c r="C86" s="152">
        <v>2</v>
      </c>
      <c r="D86" s="104"/>
      <c r="E86" s="153"/>
      <c r="F86" s="154"/>
      <c r="G86" s="155"/>
      <c r="H86" s="155"/>
      <c r="I86" s="155"/>
      <c r="J86" s="156"/>
      <c r="K86" s="151"/>
    </row>
    <row r="87" spans="1:11" ht="15" x14ac:dyDescent="0.25">
      <c r="A87" s="151"/>
      <c r="B87" s="149"/>
      <c r="C87" s="152">
        <v>3</v>
      </c>
      <c r="D87" s="104"/>
      <c r="E87" s="153"/>
      <c r="F87" s="154"/>
      <c r="G87" s="155"/>
      <c r="H87" s="155"/>
      <c r="I87" s="155"/>
      <c r="J87" s="156"/>
      <c r="K87" s="151"/>
    </row>
    <row r="88" spans="1:11" ht="15" x14ac:dyDescent="0.25">
      <c r="A88" s="151"/>
      <c r="B88" s="149"/>
      <c r="C88" s="152">
        <v>4</v>
      </c>
      <c r="D88" s="104"/>
      <c r="E88" s="153"/>
      <c r="F88" s="154"/>
      <c r="G88" s="155"/>
      <c r="H88" s="155"/>
      <c r="I88" s="155"/>
      <c r="J88" s="156"/>
      <c r="K88" s="151"/>
    </row>
    <row r="89" spans="1:11" ht="15" x14ac:dyDescent="0.25">
      <c r="A89" s="151"/>
      <c r="B89" s="149"/>
      <c r="C89" s="152">
        <v>5</v>
      </c>
      <c r="D89" s="104"/>
      <c r="E89" s="153"/>
      <c r="F89" s="154"/>
      <c r="G89" s="155"/>
      <c r="H89" s="155"/>
      <c r="I89" s="155"/>
      <c r="J89" s="156"/>
      <c r="K89" s="151"/>
    </row>
    <row r="90" spans="1:11" ht="15" x14ac:dyDescent="0.25">
      <c r="A90" s="151"/>
      <c r="B90" s="149"/>
      <c r="C90" s="152">
        <v>6</v>
      </c>
      <c r="D90" s="104"/>
      <c r="E90" s="153"/>
      <c r="F90" s="154"/>
      <c r="G90" s="155"/>
      <c r="H90" s="155"/>
      <c r="I90" s="155"/>
      <c r="J90" s="156"/>
      <c r="K90" s="151"/>
    </row>
    <row r="91" spans="1:11" ht="15" x14ac:dyDescent="0.25">
      <c r="A91" s="151"/>
      <c r="B91" s="149"/>
      <c r="C91" s="152">
        <v>7</v>
      </c>
      <c r="D91" s="104"/>
      <c r="E91" s="153"/>
      <c r="F91" s="154"/>
      <c r="G91" s="155"/>
      <c r="H91" s="155"/>
      <c r="I91" s="155"/>
      <c r="J91" s="156"/>
      <c r="K91" s="151"/>
    </row>
    <row r="92" spans="1:11" ht="15" x14ac:dyDescent="0.25">
      <c r="A92" s="151"/>
      <c r="B92" s="149"/>
      <c r="C92" s="152">
        <v>8</v>
      </c>
      <c r="D92" s="104"/>
      <c r="E92" s="153"/>
      <c r="F92" s="154"/>
      <c r="G92" s="155"/>
      <c r="H92" s="155"/>
      <c r="I92" s="155"/>
      <c r="J92" s="156"/>
      <c r="K92" s="151"/>
    </row>
    <row r="93" spans="1:11" ht="15" x14ac:dyDescent="0.25">
      <c r="A93" s="157"/>
      <c r="B93" s="158"/>
      <c r="C93" s="157"/>
      <c r="D93" s="159"/>
      <c r="E93" s="159"/>
      <c r="F93" s="157"/>
      <c r="G93" s="157"/>
      <c r="H93" s="157"/>
      <c r="I93" s="157"/>
      <c r="J93" s="157"/>
      <c r="K93" s="157"/>
    </row>
    <row r="94" spans="1:11" ht="15.75" x14ac:dyDescent="0.2">
      <c r="A94" s="100" t="s">
        <v>887</v>
      </c>
      <c r="B94" s="100" t="s">
        <v>1012</v>
      </c>
      <c r="C94" s="100" t="s">
        <v>108</v>
      </c>
      <c r="D94" s="100" t="s">
        <v>802</v>
      </c>
      <c r="E94" s="100" t="s">
        <v>109</v>
      </c>
      <c r="F94" s="100" t="s">
        <v>112</v>
      </c>
      <c r="G94" s="100" t="s">
        <v>111</v>
      </c>
      <c r="H94" s="100" t="s">
        <v>255</v>
      </c>
      <c r="I94" s="100" t="s">
        <v>256</v>
      </c>
      <c r="J94" s="100" t="s">
        <v>254</v>
      </c>
      <c r="K94" s="100" t="s">
        <v>803</v>
      </c>
    </row>
    <row r="95" spans="1:11" ht="15.75" x14ac:dyDescent="0.25">
      <c r="A95" s="87" t="s">
        <v>890</v>
      </c>
      <c r="B95" s="87" t="s">
        <v>1009</v>
      </c>
      <c r="C95" s="83" t="s">
        <v>967</v>
      </c>
      <c r="D95" s="81" t="s">
        <v>874</v>
      </c>
      <c r="E95" s="81" t="s">
        <v>141</v>
      </c>
      <c r="F95" s="81" t="s">
        <v>229</v>
      </c>
      <c r="G95" s="83" t="s">
        <v>253</v>
      </c>
      <c r="H95" s="83" t="s">
        <v>908</v>
      </c>
      <c r="I95" s="83" t="s">
        <v>909</v>
      </c>
      <c r="J95" s="83" t="s">
        <v>982</v>
      </c>
      <c r="K95" s="83" t="s">
        <v>1124</v>
      </c>
    </row>
    <row r="96" spans="1:11" ht="15.75" x14ac:dyDescent="0.25">
      <c r="A96" s="87" t="s">
        <v>890</v>
      </c>
      <c r="B96" s="87" t="s">
        <v>1009</v>
      </c>
      <c r="C96" s="83" t="s">
        <v>554</v>
      </c>
      <c r="D96" s="81" t="s">
        <v>210</v>
      </c>
      <c r="E96" s="81" t="s">
        <v>141</v>
      </c>
      <c r="F96" s="81" t="s">
        <v>211</v>
      </c>
      <c r="G96" s="83" t="s">
        <v>253</v>
      </c>
      <c r="H96" s="83" t="s">
        <v>299</v>
      </c>
      <c r="I96" s="83" t="s">
        <v>504</v>
      </c>
      <c r="J96" s="83" t="s">
        <v>977</v>
      </c>
      <c r="K96" s="83" t="s">
        <v>1125</v>
      </c>
    </row>
    <row r="97" spans="1:11" ht="15.75" x14ac:dyDescent="0.25">
      <c r="A97" s="87" t="s">
        <v>890</v>
      </c>
      <c r="B97" s="87" t="s">
        <v>1009</v>
      </c>
      <c r="C97" s="83" t="s">
        <v>562</v>
      </c>
      <c r="D97" s="81" t="s">
        <v>196</v>
      </c>
      <c r="E97" s="81" t="s">
        <v>141</v>
      </c>
      <c r="F97" s="81" t="s">
        <v>197</v>
      </c>
      <c r="G97" s="83" t="s">
        <v>253</v>
      </c>
      <c r="H97" s="83" t="s">
        <v>292</v>
      </c>
      <c r="I97" s="83" t="s">
        <v>495</v>
      </c>
      <c r="J97" s="83" t="s">
        <v>973</v>
      </c>
      <c r="K97" s="83" t="s">
        <v>1126</v>
      </c>
    </row>
    <row r="98" spans="1:11" ht="15.75" x14ac:dyDescent="0.25">
      <c r="A98" s="87" t="s">
        <v>890</v>
      </c>
      <c r="B98" s="87" t="s">
        <v>1009</v>
      </c>
      <c r="C98" s="83" t="s">
        <v>565</v>
      </c>
      <c r="D98" s="81" t="s">
        <v>350</v>
      </c>
      <c r="E98" s="81" t="s">
        <v>141</v>
      </c>
      <c r="F98" s="81" t="s">
        <v>351</v>
      </c>
      <c r="G98" s="83" t="s">
        <v>253</v>
      </c>
      <c r="H98" s="83" t="s">
        <v>441</v>
      </c>
      <c r="I98" s="83" t="s">
        <v>471</v>
      </c>
      <c r="J98" s="83" t="s">
        <v>970</v>
      </c>
      <c r="K98" s="83" t="s">
        <v>1127</v>
      </c>
    </row>
    <row r="99" spans="1:11" ht="15.75" x14ac:dyDescent="0.25">
      <c r="A99" s="87" t="s">
        <v>890</v>
      </c>
      <c r="B99" s="87" t="s">
        <v>1009</v>
      </c>
      <c r="C99" s="83" t="s">
        <v>83</v>
      </c>
      <c r="D99" s="81" t="s">
        <v>248</v>
      </c>
      <c r="E99" s="81" t="s">
        <v>141</v>
      </c>
      <c r="F99" s="81" t="s">
        <v>249</v>
      </c>
      <c r="G99" s="83" t="s">
        <v>253</v>
      </c>
      <c r="H99" s="83" t="s">
        <v>318</v>
      </c>
      <c r="I99" s="83" t="s">
        <v>527</v>
      </c>
      <c r="J99" s="83" t="s">
        <v>983</v>
      </c>
      <c r="K99" s="83" t="s">
        <v>1128</v>
      </c>
    </row>
    <row r="100" spans="1:11" ht="15.75" x14ac:dyDescent="0.25">
      <c r="A100" s="87" t="s">
        <v>890</v>
      </c>
      <c r="B100" s="87" t="s">
        <v>1009</v>
      </c>
      <c r="C100" s="83" t="s">
        <v>578</v>
      </c>
      <c r="D100" s="81" t="s">
        <v>236</v>
      </c>
      <c r="E100" s="81" t="s">
        <v>141</v>
      </c>
      <c r="F100" s="81" t="s">
        <v>237</v>
      </c>
      <c r="G100" s="83" t="s">
        <v>253</v>
      </c>
      <c r="H100" s="83" t="s">
        <v>312</v>
      </c>
      <c r="I100" s="83" t="s">
        <v>520</v>
      </c>
      <c r="J100" s="83" t="s">
        <v>981</v>
      </c>
      <c r="K100" s="83" t="s">
        <v>1129</v>
      </c>
    </row>
    <row r="101" spans="1:11" ht="15.75" x14ac:dyDescent="0.25">
      <c r="A101" s="87" t="s">
        <v>890</v>
      </c>
      <c r="B101" s="87" t="s">
        <v>1009</v>
      </c>
      <c r="C101" s="83" t="s">
        <v>963</v>
      </c>
      <c r="D101" s="81" t="s">
        <v>870</v>
      </c>
      <c r="E101" s="81" t="s">
        <v>141</v>
      </c>
      <c r="F101" s="81" t="s">
        <v>871</v>
      </c>
      <c r="G101" s="83" t="s">
        <v>253</v>
      </c>
      <c r="H101" s="83" t="s">
        <v>906</v>
      </c>
      <c r="I101" s="83" t="s">
        <v>907</v>
      </c>
      <c r="J101" s="83" t="s">
        <v>980</v>
      </c>
      <c r="K101" s="83" t="s">
        <v>1130</v>
      </c>
    </row>
    <row r="102" spans="1:11" ht="15.75" x14ac:dyDescent="0.25">
      <c r="A102" s="87" t="s">
        <v>890</v>
      </c>
      <c r="B102" s="87" t="s">
        <v>1009</v>
      </c>
      <c r="C102" s="83" t="s">
        <v>77</v>
      </c>
      <c r="D102" s="81" t="s">
        <v>204</v>
      </c>
      <c r="E102" s="81" t="s">
        <v>141</v>
      </c>
      <c r="F102" s="81" t="s">
        <v>205</v>
      </c>
      <c r="G102" s="83" t="s">
        <v>253</v>
      </c>
      <c r="H102" s="83" t="s">
        <v>296</v>
      </c>
      <c r="I102" s="83" t="s">
        <v>501</v>
      </c>
      <c r="J102" s="83" t="s">
        <v>976</v>
      </c>
      <c r="K102" s="83" t="s">
        <v>1131</v>
      </c>
    </row>
    <row r="103" spans="1:11" ht="15.75" x14ac:dyDescent="0.25">
      <c r="A103" s="87" t="s">
        <v>890</v>
      </c>
      <c r="B103" s="87" t="s">
        <v>1009</v>
      </c>
      <c r="C103" s="83" t="s">
        <v>92</v>
      </c>
      <c r="D103" s="81" t="s">
        <v>200</v>
      </c>
      <c r="E103" s="81" t="s">
        <v>141</v>
      </c>
      <c r="F103" s="81" t="s">
        <v>201</v>
      </c>
      <c r="G103" s="83" t="s">
        <v>253</v>
      </c>
      <c r="H103" s="83" t="s">
        <v>294</v>
      </c>
      <c r="I103" s="83" t="s">
        <v>497</v>
      </c>
      <c r="J103" s="83" t="s">
        <v>975</v>
      </c>
      <c r="K103" s="83" t="s">
        <v>1132</v>
      </c>
    </row>
    <row r="104" spans="1:11" ht="15.75" x14ac:dyDescent="0.25">
      <c r="A104" s="87" t="s">
        <v>890</v>
      </c>
      <c r="B104" s="87" t="s">
        <v>1009</v>
      </c>
      <c r="C104" s="83" t="s">
        <v>591</v>
      </c>
      <c r="D104" s="81" t="s">
        <v>140</v>
      </c>
      <c r="E104" s="81" t="s">
        <v>141</v>
      </c>
      <c r="F104" s="81" t="s">
        <v>142</v>
      </c>
      <c r="G104" s="83" t="s">
        <v>253</v>
      </c>
      <c r="H104" s="83" t="s">
        <v>268</v>
      </c>
      <c r="I104" s="83" t="s">
        <v>465</v>
      </c>
      <c r="J104" s="83" t="s">
        <v>969</v>
      </c>
      <c r="K104" s="83" t="s">
        <v>1133</v>
      </c>
    </row>
    <row r="105" spans="1:11" ht="15.75" x14ac:dyDescent="0.25">
      <c r="A105" s="87" t="s">
        <v>890</v>
      </c>
      <c r="B105" s="87" t="s">
        <v>1009</v>
      </c>
      <c r="C105" s="83" t="s">
        <v>599</v>
      </c>
      <c r="D105" s="81" t="s">
        <v>218</v>
      </c>
      <c r="E105" s="81" t="s">
        <v>141</v>
      </c>
      <c r="F105" s="81" t="s">
        <v>219</v>
      </c>
      <c r="G105" s="83" t="s">
        <v>253</v>
      </c>
      <c r="H105" s="83" t="s">
        <v>303</v>
      </c>
      <c r="I105" s="83" t="s">
        <v>509</v>
      </c>
      <c r="J105" s="83" t="s">
        <v>978</v>
      </c>
      <c r="K105" s="83" t="s">
        <v>1134</v>
      </c>
    </row>
    <row r="106" spans="1:11" ht="15.75" x14ac:dyDescent="0.25">
      <c r="A106" s="87" t="s">
        <v>890</v>
      </c>
      <c r="B106" s="87" t="s">
        <v>1009</v>
      </c>
      <c r="C106" s="83" t="s">
        <v>603</v>
      </c>
      <c r="D106" s="81" t="s">
        <v>386</v>
      </c>
      <c r="E106" s="81" t="s">
        <v>141</v>
      </c>
      <c r="F106" s="81" t="s">
        <v>388</v>
      </c>
      <c r="G106" s="83" t="s">
        <v>253</v>
      </c>
      <c r="H106" s="83" t="s">
        <v>446</v>
      </c>
      <c r="I106" s="83" t="s">
        <v>453</v>
      </c>
      <c r="J106" s="83" t="s">
        <v>974</v>
      </c>
      <c r="K106" s="83" t="s">
        <v>1135</v>
      </c>
    </row>
    <row r="107" spans="1:11" ht="15.75" x14ac:dyDescent="0.25">
      <c r="A107" s="87" t="s">
        <v>890</v>
      </c>
      <c r="B107" s="87" t="s">
        <v>1009</v>
      </c>
      <c r="C107" s="83" t="s">
        <v>606</v>
      </c>
      <c r="D107" s="81" t="s">
        <v>414</v>
      </c>
      <c r="E107" s="81" t="s">
        <v>141</v>
      </c>
      <c r="F107" s="81" t="s">
        <v>415</v>
      </c>
      <c r="G107" s="83" t="s">
        <v>253</v>
      </c>
      <c r="H107" s="83" t="s">
        <v>450</v>
      </c>
      <c r="I107" s="83" t="s">
        <v>512</v>
      </c>
      <c r="J107" s="83" t="s">
        <v>979</v>
      </c>
      <c r="K107" s="83" t="s">
        <v>1136</v>
      </c>
    </row>
    <row r="108" spans="1:11" ht="15.75" x14ac:dyDescent="0.25">
      <c r="A108" s="87" t="s">
        <v>890</v>
      </c>
      <c r="B108" s="87" t="s">
        <v>1009</v>
      </c>
      <c r="C108" s="83" t="s">
        <v>934</v>
      </c>
      <c r="D108" s="81" t="s">
        <v>854</v>
      </c>
      <c r="E108" s="81" t="s">
        <v>141</v>
      </c>
      <c r="F108" s="81" t="s">
        <v>855</v>
      </c>
      <c r="G108" s="83" t="s">
        <v>253</v>
      </c>
      <c r="H108" s="83" t="s">
        <v>897</v>
      </c>
      <c r="I108" s="83" t="s">
        <v>898</v>
      </c>
      <c r="J108" s="83" t="s">
        <v>971</v>
      </c>
      <c r="K108" s="83" t="s">
        <v>1137</v>
      </c>
    </row>
    <row r="109" spans="1:11" ht="15.75" x14ac:dyDescent="0.25">
      <c r="A109" s="87" t="s">
        <v>890</v>
      </c>
      <c r="B109" s="87" t="s">
        <v>1009</v>
      </c>
      <c r="C109" s="83" t="s">
        <v>968</v>
      </c>
      <c r="D109" s="81" t="s">
        <v>875</v>
      </c>
      <c r="E109" s="81" t="s">
        <v>141</v>
      </c>
      <c r="F109" s="81" t="s">
        <v>876</v>
      </c>
      <c r="G109" s="83" t="s">
        <v>253</v>
      </c>
      <c r="H109" s="83" t="s">
        <v>910</v>
      </c>
      <c r="I109" s="83" t="s">
        <v>911</v>
      </c>
      <c r="J109" s="83" t="s">
        <v>984</v>
      </c>
      <c r="K109" s="83" t="s">
        <v>1138</v>
      </c>
    </row>
    <row r="110" spans="1:11" ht="15.75" x14ac:dyDescent="0.25">
      <c r="A110" s="87" t="s">
        <v>890</v>
      </c>
      <c r="B110" s="87" t="s">
        <v>1009</v>
      </c>
      <c r="C110" s="83" t="s">
        <v>44</v>
      </c>
      <c r="D110" s="81" t="s">
        <v>859</v>
      </c>
      <c r="E110" s="81" t="s">
        <v>141</v>
      </c>
      <c r="F110" s="81" t="s">
        <v>188</v>
      </c>
      <c r="G110" s="83" t="s">
        <v>253</v>
      </c>
      <c r="H110" s="83" t="s">
        <v>288</v>
      </c>
      <c r="I110" s="83" t="s">
        <v>491</v>
      </c>
      <c r="J110" s="83" t="s">
        <v>972</v>
      </c>
      <c r="K110" s="83" t="s">
        <v>1139</v>
      </c>
    </row>
    <row r="111" spans="1:11" ht="15.75" x14ac:dyDescent="0.25">
      <c r="A111" s="85"/>
      <c r="B111" s="85"/>
      <c r="C111" s="85"/>
      <c r="D111" s="85"/>
      <c r="E111" s="85"/>
      <c r="F111" s="85"/>
      <c r="G111" s="85"/>
      <c r="H111" s="85"/>
      <c r="I111" s="85"/>
      <c r="J111" s="85"/>
      <c r="K111" s="85"/>
    </row>
    <row r="112" spans="1:11" ht="15.75" x14ac:dyDescent="0.25">
      <c r="A112" s="85"/>
      <c r="B112" s="85"/>
      <c r="C112" s="85"/>
      <c r="D112" s="160" t="s">
        <v>633</v>
      </c>
      <c r="E112" s="92" t="s">
        <v>1008</v>
      </c>
      <c r="F112" s="93" t="s">
        <v>1009</v>
      </c>
      <c r="G112" s="94" t="s">
        <v>884</v>
      </c>
      <c r="H112" s="95" t="s">
        <v>1010</v>
      </c>
      <c r="I112" s="96" t="s">
        <v>635</v>
      </c>
      <c r="J112" s="97" t="s">
        <v>634</v>
      </c>
      <c r="K112" s="85"/>
    </row>
    <row r="113" spans="1:11" ht="15.75" x14ac:dyDescent="0.25">
      <c r="A113" s="85"/>
      <c r="B113" s="149"/>
      <c r="C113" s="127" t="s">
        <v>1035</v>
      </c>
      <c r="D113" s="91" t="e">
        <f>COUNTIF(#REF!,"TT")</f>
        <v>#REF!</v>
      </c>
      <c r="E113" s="92" t="e">
        <f>COUNTIF(#REF!,E112)</f>
        <v>#REF!</v>
      </c>
      <c r="F113" s="93" t="e">
        <f>COUNTIF(#REF!,F112)</f>
        <v>#REF!</v>
      </c>
      <c r="G113" s="94" t="e">
        <f>COUNTIF(#REF!,G112)</f>
        <v>#REF!</v>
      </c>
      <c r="H113" s="95" t="e">
        <f>COUNTIF(#REF!,H112)</f>
        <v>#REF!</v>
      </c>
      <c r="I113" s="96" t="e">
        <f>SUM(E113:H113)</f>
        <v>#REF!</v>
      </c>
      <c r="J113" s="150">
        <f>COUNTIF(D122,"")</f>
        <v>1</v>
      </c>
      <c r="K113" s="151"/>
    </row>
    <row r="114" spans="1:11" ht="15" x14ac:dyDescent="0.25">
      <c r="A114" s="101"/>
      <c r="B114" s="149"/>
      <c r="C114" s="102" t="s">
        <v>631</v>
      </c>
      <c r="D114" s="102" t="s">
        <v>529</v>
      </c>
      <c r="E114" s="103" t="s">
        <v>107</v>
      </c>
      <c r="F114" s="121" t="s">
        <v>804</v>
      </c>
      <c r="G114" s="122"/>
      <c r="H114" s="122"/>
      <c r="I114" s="122"/>
      <c r="J114" s="123"/>
      <c r="K114" s="151"/>
    </row>
    <row r="115" spans="1:11" ht="15" x14ac:dyDescent="0.25">
      <c r="A115" s="151"/>
      <c r="B115" s="149"/>
      <c r="C115" s="152">
        <v>1</v>
      </c>
      <c r="D115" s="104"/>
      <c r="E115" s="153"/>
      <c r="F115" s="154"/>
      <c r="G115" s="155"/>
      <c r="H115" s="155"/>
      <c r="I115" s="155"/>
      <c r="J115" s="156"/>
      <c r="K115" s="151"/>
    </row>
    <row r="116" spans="1:11" ht="15" x14ac:dyDescent="0.25">
      <c r="A116" s="151"/>
      <c r="B116" s="149"/>
      <c r="C116" s="152">
        <v>2</v>
      </c>
      <c r="D116" s="104"/>
      <c r="E116" s="153"/>
      <c r="F116" s="154"/>
      <c r="G116" s="155"/>
      <c r="H116" s="155"/>
      <c r="I116" s="155"/>
      <c r="J116" s="156"/>
      <c r="K116" s="151"/>
    </row>
    <row r="117" spans="1:11" ht="15" x14ac:dyDescent="0.25">
      <c r="A117" s="151"/>
      <c r="B117" s="149"/>
      <c r="C117" s="152">
        <v>3</v>
      </c>
      <c r="D117" s="104"/>
      <c r="E117" s="153"/>
      <c r="F117" s="154"/>
      <c r="G117" s="155"/>
      <c r="H117" s="155"/>
      <c r="I117" s="155"/>
      <c r="J117" s="156"/>
      <c r="K117" s="151"/>
    </row>
    <row r="118" spans="1:11" ht="15" x14ac:dyDescent="0.25">
      <c r="A118" s="151"/>
      <c r="B118" s="149"/>
      <c r="C118" s="152">
        <v>4</v>
      </c>
      <c r="D118" s="104"/>
      <c r="E118" s="153"/>
      <c r="F118" s="154"/>
      <c r="G118" s="155"/>
      <c r="H118" s="155"/>
      <c r="I118" s="155"/>
      <c r="J118" s="156"/>
      <c r="K118" s="151"/>
    </row>
    <row r="119" spans="1:11" ht="15" x14ac:dyDescent="0.25">
      <c r="A119" s="151"/>
      <c r="B119" s="149"/>
      <c r="C119" s="152">
        <v>5</v>
      </c>
      <c r="D119" s="104"/>
      <c r="E119" s="153"/>
      <c r="F119" s="154"/>
      <c r="G119" s="155"/>
      <c r="H119" s="155"/>
      <c r="I119" s="155"/>
      <c r="J119" s="156"/>
      <c r="K119" s="151"/>
    </row>
    <row r="120" spans="1:11" ht="15" x14ac:dyDescent="0.25">
      <c r="A120" s="151"/>
      <c r="B120" s="149"/>
      <c r="C120" s="152">
        <v>6</v>
      </c>
      <c r="D120" s="104"/>
      <c r="E120" s="153"/>
      <c r="F120" s="154"/>
      <c r="G120" s="155"/>
      <c r="H120" s="155"/>
      <c r="I120" s="155"/>
      <c r="J120" s="156"/>
      <c r="K120" s="151"/>
    </row>
    <row r="121" spans="1:11" ht="15" x14ac:dyDescent="0.25">
      <c r="A121" s="151"/>
      <c r="B121" s="149"/>
      <c r="C121" s="152">
        <v>7</v>
      </c>
      <c r="D121" s="104"/>
      <c r="E121" s="153"/>
      <c r="F121" s="154"/>
      <c r="G121" s="155"/>
      <c r="H121" s="155"/>
      <c r="I121" s="155"/>
      <c r="J121" s="156"/>
      <c r="K121" s="151"/>
    </row>
    <row r="122" spans="1:11" ht="15" x14ac:dyDescent="0.25">
      <c r="A122" s="151"/>
      <c r="B122" s="149"/>
      <c r="C122" s="152">
        <v>8</v>
      </c>
      <c r="D122" s="104"/>
      <c r="E122" s="153"/>
      <c r="F122" s="154"/>
      <c r="G122" s="155"/>
      <c r="H122" s="155"/>
      <c r="I122" s="155"/>
      <c r="J122" s="156"/>
      <c r="K122" s="151"/>
    </row>
    <row r="123" spans="1:11" ht="15.75" x14ac:dyDescent="0.25">
      <c r="A123" s="105"/>
      <c r="B123" s="105"/>
      <c r="C123" s="105"/>
      <c r="D123" s="105"/>
      <c r="E123" s="105"/>
      <c r="F123" s="105"/>
      <c r="G123" s="105"/>
      <c r="H123" s="105"/>
      <c r="I123" s="105"/>
      <c r="J123" s="105"/>
      <c r="K123" s="105"/>
    </row>
    <row r="124" spans="1:11" ht="15.75" x14ac:dyDescent="0.2">
      <c r="A124" s="100" t="s">
        <v>887</v>
      </c>
      <c r="B124" s="100" t="s">
        <v>1012</v>
      </c>
      <c r="C124" s="100" t="s">
        <v>108</v>
      </c>
      <c r="D124" s="100" t="s">
        <v>802</v>
      </c>
      <c r="E124" s="100" t="s">
        <v>109</v>
      </c>
      <c r="F124" s="100" t="s">
        <v>112</v>
      </c>
      <c r="G124" s="100" t="s">
        <v>111</v>
      </c>
      <c r="H124" s="100" t="s">
        <v>255</v>
      </c>
      <c r="I124" s="100" t="s">
        <v>256</v>
      </c>
      <c r="J124" s="100" t="s">
        <v>254</v>
      </c>
      <c r="K124" s="100" t="s">
        <v>803</v>
      </c>
    </row>
    <row r="125" spans="1:11" ht="15.75" x14ac:dyDescent="0.25">
      <c r="A125" s="87" t="s">
        <v>890</v>
      </c>
      <c r="B125" s="87" t="s">
        <v>1009</v>
      </c>
      <c r="C125" s="108" t="s">
        <v>550</v>
      </c>
      <c r="D125" s="107" t="s">
        <v>127</v>
      </c>
      <c r="E125" s="107" t="s">
        <v>128</v>
      </c>
      <c r="F125" s="107" t="s">
        <v>129</v>
      </c>
      <c r="G125" s="108" t="s">
        <v>321</v>
      </c>
      <c r="H125" s="108" t="s">
        <v>262</v>
      </c>
      <c r="I125" s="108" t="s">
        <v>458</v>
      </c>
      <c r="J125" s="108" t="s">
        <v>1021</v>
      </c>
      <c r="K125" s="108" t="s">
        <v>1140</v>
      </c>
    </row>
    <row r="126" spans="1:11" ht="15.75" x14ac:dyDescent="0.25">
      <c r="A126" s="87" t="s">
        <v>890</v>
      </c>
      <c r="B126" s="87" t="s">
        <v>1009</v>
      </c>
      <c r="C126" s="108" t="s">
        <v>551</v>
      </c>
      <c r="D126" s="107" t="s">
        <v>226</v>
      </c>
      <c r="E126" s="107" t="s">
        <v>161</v>
      </c>
      <c r="F126" s="107" t="s">
        <v>227</v>
      </c>
      <c r="G126" s="108" t="s">
        <v>321</v>
      </c>
      <c r="H126" s="108" t="s">
        <v>307</v>
      </c>
      <c r="I126" s="108" t="s">
        <v>514</v>
      </c>
      <c r="J126" s="108" t="s">
        <v>1028</v>
      </c>
      <c r="K126" s="108" t="s">
        <v>1141</v>
      </c>
    </row>
    <row r="127" spans="1:11" ht="15.75" x14ac:dyDescent="0.25">
      <c r="A127" s="87" t="s">
        <v>890</v>
      </c>
      <c r="B127" s="87" t="s">
        <v>1009</v>
      </c>
      <c r="C127" s="108" t="s">
        <v>556</v>
      </c>
      <c r="D127" s="107" t="s">
        <v>193</v>
      </c>
      <c r="E127" s="107" t="s">
        <v>383</v>
      </c>
      <c r="F127" s="107" t="s">
        <v>195</v>
      </c>
      <c r="G127" s="108" t="s">
        <v>321</v>
      </c>
      <c r="H127" s="108" t="s">
        <v>291</v>
      </c>
      <c r="I127" s="108" t="s">
        <v>494</v>
      </c>
      <c r="J127" s="108" t="s">
        <v>1025</v>
      </c>
      <c r="K127" s="108" t="s">
        <v>1142</v>
      </c>
    </row>
    <row r="128" spans="1:11" ht="15.75" x14ac:dyDescent="0.25">
      <c r="A128" s="87" t="s">
        <v>890</v>
      </c>
      <c r="B128" s="87" t="s">
        <v>1009</v>
      </c>
      <c r="C128" s="108" t="s">
        <v>53</v>
      </c>
      <c r="D128" s="107" t="s">
        <v>250</v>
      </c>
      <c r="E128" s="107" t="s">
        <v>251</v>
      </c>
      <c r="F128" s="107" t="s">
        <v>252</v>
      </c>
      <c r="G128" s="108" t="s">
        <v>321</v>
      </c>
      <c r="H128" s="108" t="s">
        <v>319</v>
      </c>
      <c r="I128" s="108" t="s">
        <v>528</v>
      </c>
      <c r="J128" s="108" t="s">
        <v>1032</v>
      </c>
      <c r="K128" s="108" t="s">
        <v>1143</v>
      </c>
    </row>
    <row r="129" spans="1:11" ht="15.75" x14ac:dyDescent="0.25">
      <c r="A129" s="87" t="s">
        <v>890</v>
      </c>
      <c r="B129" s="87" t="s">
        <v>1009</v>
      </c>
      <c r="C129" s="108" t="s">
        <v>564</v>
      </c>
      <c r="D129" s="107" t="s">
        <v>858</v>
      </c>
      <c r="E129" s="107" t="s">
        <v>185</v>
      </c>
      <c r="F129" s="107" t="s">
        <v>186</v>
      </c>
      <c r="G129" s="108" t="s">
        <v>321</v>
      </c>
      <c r="H129" s="108" t="s">
        <v>287</v>
      </c>
      <c r="I129" s="108" t="s">
        <v>490</v>
      </c>
      <c r="J129" s="108" t="s">
        <v>1024</v>
      </c>
      <c r="K129" s="108" t="s">
        <v>1144</v>
      </c>
    </row>
    <row r="130" spans="1:11" ht="15.75" x14ac:dyDescent="0.25">
      <c r="A130" s="87" t="s">
        <v>890</v>
      </c>
      <c r="B130" s="87" t="s">
        <v>1009</v>
      </c>
      <c r="C130" s="108" t="s">
        <v>960</v>
      </c>
      <c r="D130" s="107" t="s">
        <v>867</v>
      </c>
      <c r="E130" s="107" t="s">
        <v>161</v>
      </c>
      <c r="F130" s="107" t="s">
        <v>868</v>
      </c>
      <c r="G130" s="108" t="s">
        <v>321</v>
      </c>
      <c r="H130" s="108" t="s">
        <v>904</v>
      </c>
      <c r="I130" s="108" t="s">
        <v>905</v>
      </c>
      <c r="J130" s="108" t="s">
        <v>1027</v>
      </c>
      <c r="K130" s="108" t="s">
        <v>1145</v>
      </c>
    </row>
    <row r="131" spans="1:11" ht="15.75" x14ac:dyDescent="0.25">
      <c r="A131" s="87" t="s">
        <v>890</v>
      </c>
      <c r="B131" s="87" t="s">
        <v>1009</v>
      </c>
      <c r="C131" s="108" t="s">
        <v>570</v>
      </c>
      <c r="D131" s="107" t="s">
        <v>420</v>
      </c>
      <c r="E131" s="107" t="s">
        <v>421</v>
      </c>
      <c r="F131" s="107" t="s">
        <v>422</v>
      </c>
      <c r="G131" s="108" t="s">
        <v>321</v>
      </c>
      <c r="H131" s="108" t="s">
        <v>451</v>
      </c>
      <c r="I131" s="108" t="s">
        <v>516</v>
      </c>
      <c r="J131" s="108" t="s">
        <v>1029</v>
      </c>
      <c r="K131" s="108" t="s">
        <v>1146</v>
      </c>
    </row>
    <row r="132" spans="1:11" ht="15.75" x14ac:dyDescent="0.25">
      <c r="A132" s="87" t="s">
        <v>890</v>
      </c>
      <c r="B132" s="87" t="s">
        <v>1009</v>
      </c>
      <c r="C132" s="108" t="s">
        <v>573</v>
      </c>
      <c r="D132" s="107" t="s">
        <v>392</v>
      </c>
      <c r="E132" s="107" t="s">
        <v>393</v>
      </c>
      <c r="F132" s="107" t="s">
        <v>394</v>
      </c>
      <c r="G132" s="108" t="s">
        <v>321</v>
      </c>
      <c r="H132" s="108" t="s">
        <v>447</v>
      </c>
      <c r="I132" s="108" t="s">
        <v>498</v>
      </c>
      <c r="J132" s="108" t="s">
        <v>1026</v>
      </c>
      <c r="K132" s="108" t="s">
        <v>1147</v>
      </c>
    </row>
    <row r="133" spans="1:11" ht="15.75" x14ac:dyDescent="0.25">
      <c r="A133" s="87" t="s">
        <v>890</v>
      </c>
      <c r="B133" s="87" t="s">
        <v>1009</v>
      </c>
      <c r="C133" s="108" t="s">
        <v>580</v>
      </c>
      <c r="D133" s="107" t="s">
        <v>117</v>
      </c>
      <c r="E133" s="107" t="s">
        <v>118</v>
      </c>
      <c r="F133" s="107" t="s">
        <v>119</v>
      </c>
      <c r="G133" s="108" t="s">
        <v>321</v>
      </c>
      <c r="H133" s="108" t="s">
        <v>258</v>
      </c>
      <c r="I133" s="108" t="s">
        <v>454</v>
      </c>
      <c r="J133" s="108" t="s">
        <v>1020</v>
      </c>
      <c r="K133" s="108" t="s">
        <v>1148</v>
      </c>
    </row>
    <row r="134" spans="1:11" ht="15.75" x14ac:dyDescent="0.25">
      <c r="A134" s="87" t="s">
        <v>890</v>
      </c>
      <c r="B134" s="87" t="s">
        <v>1009</v>
      </c>
      <c r="C134" s="108" t="s">
        <v>581</v>
      </c>
      <c r="D134" s="107" t="s">
        <v>857</v>
      </c>
      <c r="E134" s="107" t="s">
        <v>168</v>
      </c>
      <c r="F134" s="107" t="s">
        <v>169</v>
      </c>
      <c r="G134" s="108" t="s">
        <v>321</v>
      </c>
      <c r="H134" s="108" t="s">
        <v>279</v>
      </c>
      <c r="I134" s="108" t="s">
        <v>482</v>
      </c>
      <c r="J134" s="108" t="s">
        <v>1023</v>
      </c>
      <c r="K134" s="108" t="s">
        <v>1149</v>
      </c>
    </row>
    <row r="135" spans="1:11" ht="15.75" x14ac:dyDescent="0.25">
      <c r="A135" s="87" t="s">
        <v>890</v>
      </c>
      <c r="B135" s="87" t="s">
        <v>1009</v>
      </c>
      <c r="C135" s="108" t="s">
        <v>594</v>
      </c>
      <c r="D135" s="107" t="s">
        <v>873</v>
      </c>
      <c r="E135" s="107" t="s">
        <v>194</v>
      </c>
      <c r="F135" s="107" t="s">
        <v>239</v>
      </c>
      <c r="G135" s="108" t="s">
        <v>321</v>
      </c>
      <c r="H135" s="108" t="s">
        <v>313</v>
      </c>
      <c r="I135" s="108" t="s">
        <v>521</v>
      </c>
      <c r="J135" s="108" t="s">
        <v>1030</v>
      </c>
      <c r="K135" s="108" t="s">
        <v>1150</v>
      </c>
    </row>
    <row r="136" spans="1:11" ht="15.75" x14ac:dyDescent="0.25">
      <c r="A136" s="87" t="s">
        <v>890</v>
      </c>
      <c r="B136" s="87" t="s">
        <v>1009</v>
      </c>
      <c r="C136" s="108" t="s">
        <v>79</v>
      </c>
      <c r="D136" s="107" t="s">
        <v>343</v>
      </c>
      <c r="E136" s="107" t="s">
        <v>194</v>
      </c>
      <c r="F136" s="107" t="s">
        <v>344</v>
      </c>
      <c r="G136" s="108" t="s">
        <v>321</v>
      </c>
      <c r="H136" s="108" t="s">
        <v>440</v>
      </c>
      <c r="I136" s="108" t="s">
        <v>466</v>
      </c>
      <c r="J136" s="108" t="s">
        <v>1022</v>
      </c>
      <c r="K136" s="108" t="s">
        <v>1151</v>
      </c>
    </row>
    <row r="137" spans="1:11" ht="15.75" x14ac:dyDescent="0.25">
      <c r="A137" s="87" t="s">
        <v>890</v>
      </c>
      <c r="B137" s="87" t="s">
        <v>1009</v>
      </c>
      <c r="C137" s="108" t="s">
        <v>607</v>
      </c>
      <c r="D137" s="107" t="s">
        <v>240</v>
      </c>
      <c r="E137" s="107" t="s">
        <v>161</v>
      </c>
      <c r="F137" s="107" t="s">
        <v>241</v>
      </c>
      <c r="G137" s="108" t="s">
        <v>321</v>
      </c>
      <c r="H137" s="108" t="s">
        <v>314</v>
      </c>
      <c r="I137" s="108" t="s">
        <v>522</v>
      </c>
      <c r="J137" s="108" t="s">
        <v>1031</v>
      </c>
      <c r="K137" s="108" t="s">
        <v>1152</v>
      </c>
    </row>
    <row r="138" spans="1:11" ht="15.75" x14ac:dyDescent="0.25">
      <c r="A138" s="85"/>
      <c r="B138" s="85"/>
      <c r="C138" s="85"/>
      <c r="D138" s="85"/>
      <c r="E138" s="85"/>
      <c r="F138" s="85"/>
      <c r="G138" s="85"/>
      <c r="H138" s="85"/>
      <c r="I138" s="85"/>
      <c r="J138" s="85"/>
      <c r="K138" s="85"/>
    </row>
    <row r="139" spans="1:11" ht="15.75" x14ac:dyDescent="0.25">
      <c r="A139" s="90"/>
      <c r="B139" s="90"/>
      <c r="C139" s="90"/>
      <c r="D139" s="160" t="s">
        <v>1153</v>
      </c>
      <c r="E139" s="92" t="s">
        <v>1008</v>
      </c>
      <c r="F139" s="93" t="s">
        <v>1009</v>
      </c>
      <c r="G139" s="94" t="s">
        <v>884</v>
      </c>
      <c r="H139" s="95" t="s">
        <v>1010</v>
      </c>
      <c r="I139" s="96" t="s">
        <v>635</v>
      </c>
      <c r="J139" s="97" t="s">
        <v>634</v>
      </c>
      <c r="K139" s="90"/>
    </row>
    <row r="140" spans="1:11" ht="15.75" x14ac:dyDescent="0.25">
      <c r="A140" s="90"/>
      <c r="B140" s="90"/>
      <c r="C140" s="106" t="s">
        <v>1036</v>
      </c>
      <c r="D140" s="160">
        <f>COUNTIF(G153:G165,"T")</f>
        <v>0</v>
      </c>
      <c r="E140" s="92">
        <f>COUNTIF(B153:B165,E139)</f>
        <v>0</v>
      </c>
      <c r="F140" s="93">
        <f>COUNTIF(B153:B165,F139)</f>
        <v>13</v>
      </c>
      <c r="G140" s="94">
        <f>COUNTIF(B153:B165,G139)</f>
        <v>0</v>
      </c>
      <c r="H140" s="95">
        <f>COUNTIF(B153:B165,H139)</f>
        <v>0</v>
      </c>
      <c r="I140" s="96">
        <f>SUM(E140:H140)</f>
        <v>13</v>
      </c>
      <c r="J140" s="150">
        <f>COUNTIF(D148:D150,"")</f>
        <v>3</v>
      </c>
      <c r="K140" s="90"/>
    </row>
    <row r="141" spans="1:11" ht="15.75" x14ac:dyDescent="0.25">
      <c r="A141" s="90"/>
      <c r="B141" s="90"/>
      <c r="C141" s="98" t="s">
        <v>631</v>
      </c>
      <c r="D141" s="98" t="s">
        <v>529</v>
      </c>
      <c r="E141" s="98" t="s">
        <v>107</v>
      </c>
      <c r="F141" s="124" t="s">
        <v>804</v>
      </c>
      <c r="G141" s="125"/>
      <c r="H141" s="125"/>
      <c r="I141" s="125"/>
      <c r="J141" s="126"/>
      <c r="K141" s="90"/>
    </row>
    <row r="142" spans="1:11" ht="15.75" x14ac:dyDescent="0.25">
      <c r="A142" s="90"/>
      <c r="B142" s="90"/>
      <c r="C142" s="87">
        <v>1</v>
      </c>
      <c r="D142" s="87"/>
      <c r="E142" s="87"/>
      <c r="F142" s="113"/>
      <c r="G142" s="114"/>
      <c r="H142" s="114"/>
      <c r="I142" s="114"/>
      <c r="J142" s="115"/>
      <c r="K142" s="90"/>
    </row>
    <row r="143" spans="1:11" ht="15.75" x14ac:dyDescent="0.25">
      <c r="A143" s="90"/>
      <c r="B143" s="90"/>
      <c r="C143" s="87">
        <v>2</v>
      </c>
      <c r="D143" s="87"/>
      <c r="E143" s="87"/>
      <c r="F143" s="113"/>
      <c r="G143" s="114"/>
      <c r="H143" s="114"/>
      <c r="I143" s="114"/>
      <c r="J143" s="115"/>
      <c r="K143" s="90"/>
    </row>
    <row r="144" spans="1:11" ht="15.75" x14ac:dyDescent="0.25">
      <c r="A144" s="90"/>
      <c r="B144" s="90"/>
      <c r="C144" s="87">
        <v>3</v>
      </c>
      <c r="D144" s="87"/>
      <c r="E144" s="87"/>
      <c r="F144" s="113"/>
      <c r="G144" s="114"/>
      <c r="H144" s="114"/>
      <c r="I144" s="114"/>
      <c r="J144" s="115"/>
      <c r="K144" s="90"/>
    </row>
    <row r="145" spans="1:11" ht="15.75" x14ac:dyDescent="0.25">
      <c r="A145" s="90"/>
      <c r="B145" s="90"/>
      <c r="C145" s="87">
        <v>4</v>
      </c>
      <c r="D145" s="87"/>
      <c r="E145" s="87"/>
      <c r="F145" s="113"/>
      <c r="G145" s="114"/>
      <c r="H145" s="114"/>
      <c r="I145" s="114"/>
      <c r="J145" s="115"/>
      <c r="K145" s="90"/>
    </row>
    <row r="146" spans="1:11" ht="15.75" x14ac:dyDescent="0.25">
      <c r="A146" s="90"/>
      <c r="B146" s="90"/>
      <c r="C146" s="87">
        <v>5</v>
      </c>
      <c r="D146" s="87"/>
      <c r="E146" s="87"/>
      <c r="F146" s="113"/>
      <c r="G146" s="114"/>
      <c r="H146" s="114"/>
      <c r="I146" s="114"/>
      <c r="J146" s="115"/>
      <c r="K146" s="90"/>
    </row>
    <row r="147" spans="1:11" ht="15.75" x14ac:dyDescent="0.25">
      <c r="A147" s="90"/>
      <c r="B147" s="90"/>
      <c r="C147" s="87">
        <v>6</v>
      </c>
      <c r="D147" s="87"/>
      <c r="E147" s="87"/>
      <c r="F147" s="113"/>
      <c r="G147" s="114"/>
      <c r="H147" s="114"/>
      <c r="I147" s="114"/>
      <c r="J147" s="115"/>
      <c r="K147" s="90"/>
    </row>
    <row r="148" spans="1:11" ht="15.75" x14ac:dyDescent="0.25">
      <c r="A148" s="90"/>
      <c r="B148" s="90"/>
      <c r="C148" s="87">
        <v>7</v>
      </c>
      <c r="D148" s="87"/>
      <c r="E148" s="87"/>
      <c r="F148" s="113"/>
      <c r="G148" s="114"/>
      <c r="H148" s="114"/>
      <c r="I148" s="114"/>
      <c r="J148" s="115"/>
      <c r="K148" s="90"/>
    </row>
    <row r="149" spans="1:11" ht="15.75" x14ac:dyDescent="0.25">
      <c r="A149" s="90"/>
      <c r="B149" s="90"/>
      <c r="C149" s="87">
        <v>8</v>
      </c>
      <c r="D149" s="87"/>
      <c r="E149" s="87"/>
      <c r="F149" s="113"/>
      <c r="G149" s="114"/>
      <c r="H149" s="114"/>
      <c r="I149" s="114"/>
      <c r="J149" s="115"/>
      <c r="K149" s="90"/>
    </row>
    <row r="150" spans="1:11" ht="15.75" x14ac:dyDescent="0.25">
      <c r="A150" s="90"/>
      <c r="B150" s="90"/>
      <c r="C150" s="87">
        <v>9</v>
      </c>
      <c r="D150" s="87"/>
      <c r="E150" s="87"/>
      <c r="F150" s="113"/>
      <c r="G150" s="114"/>
      <c r="H150" s="114"/>
      <c r="I150" s="114"/>
      <c r="J150" s="115"/>
      <c r="K150" s="90"/>
    </row>
    <row r="151" spans="1:11" ht="15.75" x14ac:dyDescent="0.25">
      <c r="A151" s="105"/>
      <c r="B151" s="105"/>
      <c r="C151" s="105"/>
      <c r="D151" s="105"/>
      <c r="E151" s="105"/>
      <c r="F151" s="105"/>
      <c r="G151" s="105"/>
      <c r="H151" s="105"/>
      <c r="I151" s="105"/>
      <c r="J151" s="105"/>
      <c r="K151" s="105"/>
    </row>
    <row r="152" spans="1:11" ht="15.75" x14ac:dyDescent="0.2">
      <c r="A152" s="100" t="s">
        <v>887</v>
      </c>
      <c r="B152" s="100" t="s">
        <v>1012</v>
      </c>
      <c r="C152" s="100" t="s">
        <v>108</v>
      </c>
      <c r="D152" s="100" t="s">
        <v>802</v>
      </c>
      <c r="E152" s="100" t="s">
        <v>109</v>
      </c>
      <c r="F152" s="100" t="s">
        <v>112</v>
      </c>
      <c r="G152" s="100" t="s">
        <v>111</v>
      </c>
      <c r="H152" s="100" t="s">
        <v>255</v>
      </c>
      <c r="I152" s="100" t="s">
        <v>256</v>
      </c>
      <c r="J152" s="100" t="s">
        <v>254</v>
      </c>
      <c r="K152" s="100" t="s">
        <v>803</v>
      </c>
    </row>
    <row r="153" spans="1:11" ht="15.75" x14ac:dyDescent="0.25">
      <c r="A153" s="87" t="s">
        <v>890</v>
      </c>
      <c r="B153" s="87" t="s">
        <v>1009</v>
      </c>
      <c r="C153" s="83" t="s">
        <v>967</v>
      </c>
      <c r="D153" s="81" t="s">
        <v>874</v>
      </c>
      <c r="E153" s="81" t="s">
        <v>141</v>
      </c>
      <c r="F153" s="81" t="s">
        <v>229</v>
      </c>
      <c r="G153" s="83" t="s">
        <v>253</v>
      </c>
      <c r="H153" s="83" t="s">
        <v>908</v>
      </c>
      <c r="I153" s="83" t="s">
        <v>909</v>
      </c>
      <c r="J153" s="83" t="s">
        <v>982</v>
      </c>
      <c r="K153" s="83" t="s">
        <v>1124</v>
      </c>
    </row>
    <row r="154" spans="1:11" ht="15.75" x14ac:dyDescent="0.25">
      <c r="A154" s="87" t="s">
        <v>890</v>
      </c>
      <c r="B154" s="87" t="s">
        <v>1009</v>
      </c>
      <c r="C154" s="83" t="s">
        <v>554</v>
      </c>
      <c r="D154" s="81" t="s">
        <v>210</v>
      </c>
      <c r="E154" s="81" t="s">
        <v>141</v>
      </c>
      <c r="F154" s="81" t="s">
        <v>211</v>
      </c>
      <c r="G154" s="83" t="s">
        <v>253</v>
      </c>
      <c r="H154" s="83" t="s">
        <v>299</v>
      </c>
      <c r="I154" s="83" t="s">
        <v>504</v>
      </c>
      <c r="J154" s="83" t="s">
        <v>977</v>
      </c>
      <c r="K154" s="83" t="s">
        <v>1125</v>
      </c>
    </row>
    <row r="155" spans="1:11" ht="15.75" x14ac:dyDescent="0.25">
      <c r="A155" s="87" t="s">
        <v>890</v>
      </c>
      <c r="B155" s="87" t="s">
        <v>1009</v>
      </c>
      <c r="C155" s="83" t="s">
        <v>562</v>
      </c>
      <c r="D155" s="81" t="s">
        <v>196</v>
      </c>
      <c r="E155" s="81" t="s">
        <v>141</v>
      </c>
      <c r="F155" s="81" t="s">
        <v>197</v>
      </c>
      <c r="G155" s="83" t="s">
        <v>253</v>
      </c>
      <c r="H155" s="83" t="s">
        <v>292</v>
      </c>
      <c r="I155" s="83" t="s">
        <v>495</v>
      </c>
      <c r="J155" s="83" t="s">
        <v>973</v>
      </c>
      <c r="K155" s="83" t="s">
        <v>1126</v>
      </c>
    </row>
    <row r="156" spans="1:11" ht="15.75" x14ac:dyDescent="0.25">
      <c r="A156" s="87" t="s">
        <v>890</v>
      </c>
      <c r="B156" s="87" t="s">
        <v>1009</v>
      </c>
      <c r="C156" s="83" t="s">
        <v>565</v>
      </c>
      <c r="D156" s="81" t="s">
        <v>350</v>
      </c>
      <c r="E156" s="81" t="s">
        <v>141</v>
      </c>
      <c r="F156" s="81" t="s">
        <v>351</v>
      </c>
      <c r="G156" s="83" t="s">
        <v>253</v>
      </c>
      <c r="H156" s="83" t="s">
        <v>441</v>
      </c>
      <c r="I156" s="83" t="s">
        <v>471</v>
      </c>
      <c r="J156" s="83" t="s">
        <v>970</v>
      </c>
      <c r="K156" s="83" t="s">
        <v>1127</v>
      </c>
    </row>
    <row r="157" spans="1:11" ht="15.75" x14ac:dyDescent="0.25">
      <c r="A157" s="87" t="s">
        <v>890</v>
      </c>
      <c r="B157" s="87" t="s">
        <v>1009</v>
      </c>
      <c r="C157" s="83" t="s">
        <v>83</v>
      </c>
      <c r="D157" s="81" t="s">
        <v>248</v>
      </c>
      <c r="E157" s="81" t="s">
        <v>141</v>
      </c>
      <c r="F157" s="81" t="s">
        <v>249</v>
      </c>
      <c r="G157" s="83" t="s">
        <v>253</v>
      </c>
      <c r="H157" s="83" t="s">
        <v>318</v>
      </c>
      <c r="I157" s="83" t="s">
        <v>527</v>
      </c>
      <c r="J157" s="83" t="s">
        <v>983</v>
      </c>
      <c r="K157" s="83" t="s">
        <v>1128</v>
      </c>
    </row>
    <row r="158" spans="1:11" ht="15.75" x14ac:dyDescent="0.25">
      <c r="A158" s="87" t="s">
        <v>890</v>
      </c>
      <c r="B158" s="87" t="s">
        <v>1009</v>
      </c>
      <c r="C158" s="83" t="s">
        <v>578</v>
      </c>
      <c r="D158" s="81" t="s">
        <v>236</v>
      </c>
      <c r="E158" s="81" t="s">
        <v>141</v>
      </c>
      <c r="F158" s="81" t="s">
        <v>237</v>
      </c>
      <c r="G158" s="83" t="s">
        <v>253</v>
      </c>
      <c r="H158" s="83" t="s">
        <v>312</v>
      </c>
      <c r="I158" s="83" t="s">
        <v>520</v>
      </c>
      <c r="J158" s="83" t="s">
        <v>981</v>
      </c>
      <c r="K158" s="83" t="s">
        <v>1129</v>
      </c>
    </row>
    <row r="159" spans="1:11" ht="15.75" x14ac:dyDescent="0.25">
      <c r="A159" s="87" t="s">
        <v>890</v>
      </c>
      <c r="B159" s="87" t="s">
        <v>1009</v>
      </c>
      <c r="C159" s="83" t="s">
        <v>963</v>
      </c>
      <c r="D159" s="81" t="s">
        <v>870</v>
      </c>
      <c r="E159" s="81" t="s">
        <v>141</v>
      </c>
      <c r="F159" s="81" t="s">
        <v>871</v>
      </c>
      <c r="G159" s="83" t="s">
        <v>253</v>
      </c>
      <c r="H159" s="83" t="s">
        <v>906</v>
      </c>
      <c r="I159" s="83" t="s">
        <v>907</v>
      </c>
      <c r="J159" s="83" t="s">
        <v>980</v>
      </c>
      <c r="K159" s="83" t="s">
        <v>1130</v>
      </c>
    </row>
    <row r="160" spans="1:11" ht="15.75" x14ac:dyDescent="0.25">
      <c r="A160" s="87" t="s">
        <v>890</v>
      </c>
      <c r="B160" s="87" t="s">
        <v>1009</v>
      </c>
      <c r="C160" s="83" t="s">
        <v>77</v>
      </c>
      <c r="D160" s="81" t="s">
        <v>204</v>
      </c>
      <c r="E160" s="81" t="s">
        <v>141</v>
      </c>
      <c r="F160" s="81" t="s">
        <v>205</v>
      </c>
      <c r="G160" s="83" t="s">
        <v>253</v>
      </c>
      <c r="H160" s="83" t="s">
        <v>296</v>
      </c>
      <c r="I160" s="83" t="s">
        <v>501</v>
      </c>
      <c r="J160" s="83" t="s">
        <v>976</v>
      </c>
      <c r="K160" s="83" t="s">
        <v>1131</v>
      </c>
    </row>
    <row r="161" spans="1:11" ht="15.75" x14ac:dyDescent="0.25">
      <c r="A161" s="87" t="s">
        <v>890</v>
      </c>
      <c r="B161" s="87" t="s">
        <v>1009</v>
      </c>
      <c r="C161" s="83" t="s">
        <v>92</v>
      </c>
      <c r="D161" s="81" t="s">
        <v>200</v>
      </c>
      <c r="E161" s="81" t="s">
        <v>141</v>
      </c>
      <c r="F161" s="81" t="s">
        <v>201</v>
      </c>
      <c r="G161" s="83" t="s">
        <v>253</v>
      </c>
      <c r="H161" s="83" t="s">
        <v>294</v>
      </c>
      <c r="I161" s="83" t="s">
        <v>497</v>
      </c>
      <c r="J161" s="83" t="s">
        <v>975</v>
      </c>
      <c r="K161" s="83" t="s">
        <v>1132</v>
      </c>
    </row>
    <row r="162" spans="1:11" ht="15.75" x14ac:dyDescent="0.25">
      <c r="A162" s="87" t="s">
        <v>890</v>
      </c>
      <c r="B162" s="87" t="s">
        <v>1009</v>
      </c>
      <c r="C162" s="83" t="s">
        <v>591</v>
      </c>
      <c r="D162" s="81" t="s">
        <v>140</v>
      </c>
      <c r="E162" s="81" t="s">
        <v>141</v>
      </c>
      <c r="F162" s="81" t="s">
        <v>142</v>
      </c>
      <c r="G162" s="83" t="s">
        <v>253</v>
      </c>
      <c r="H162" s="83" t="s">
        <v>268</v>
      </c>
      <c r="I162" s="83" t="s">
        <v>465</v>
      </c>
      <c r="J162" s="83" t="s">
        <v>969</v>
      </c>
      <c r="K162" s="83" t="s">
        <v>1133</v>
      </c>
    </row>
    <row r="163" spans="1:11" ht="15.75" x14ac:dyDescent="0.25">
      <c r="A163" s="87" t="s">
        <v>890</v>
      </c>
      <c r="B163" s="87" t="s">
        <v>1009</v>
      </c>
      <c r="C163" s="83" t="s">
        <v>599</v>
      </c>
      <c r="D163" s="81" t="s">
        <v>218</v>
      </c>
      <c r="E163" s="81" t="s">
        <v>141</v>
      </c>
      <c r="F163" s="81" t="s">
        <v>219</v>
      </c>
      <c r="G163" s="83" t="s">
        <v>253</v>
      </c>
      <c r="H163" s="83" t="s">
        <v>303</v>
      </c>
      <c r="I163" s="83" t="s">
        <v>509</v>
      </c>
      <c r="J163" s="83" t="s">
        <v>978</v>
      </c>
      <c r="K163" s="83" t="s">
        <v>1134</v>
      </c>
    </row>
    <row r="164" spans="1:11" ht="15.75" x14ac:dyDescent="0.25">
      <c r="A164" s="87" t="s">
        <v>890</v>
      </c>
      <c r="B164" s="87" t="s">
        <v>1009</v>
      </c>
      <c r="C164" s="83" t="s">
        <v>603</v>
      </c>
      <c r="D164" s="81" t="s">
        <v>386</v>
      </c>
      <c r="E164" s="81" t="s">
        <v>141</v>
      </c>
      <c r="F164" s="81" t="s">
        <v>388</v>
      </c>
      <c r="G164" s="83" t="s">
        <v>253</v>
      </c>
      <c r="H164" s="83" t="s">
        <v>446</v>
      </c>
      <c r="I164" s="83" t="s">
        <v>453</v>
      </c>
      <c r="J164" s="83" t="s">
        <v>974</v>
      </c>
      <c r="K164" s="83" t="s">
        <v>1135</v>
      </c>
    </row>
    <row r="165" spans="1:11" ht="15.75" x14ac:dyDescent="0.25">
      <c r="A165" s="87" t="s">
        <v>890</v>
      </c>
      <c r="B165" s="87" t="s">
        <v>1009</v>
      </c>
      <c r="C165" s="83" t="s">
        <v>606</v>
      </c>
      <c r="D165" s="81" t="s">
        <v>414</v>
      </c>
      <c r="E165" s="81" t="s">
        <v>141</v>
      </c>
      <c r="F165" s="81" t="s">
        <v>415</v>
      </c>
      <c r="G165" s="83" t="s">
        <v>253</v>
      </c>
      <c r="H165" s="83" t="s">
        <v>450</v>
      </c>
      <c r="I165" s="83" t="s">
        <v>512</v>
      </c>
      <c r="J165" s="83" t="s">
        <v>979</v>
      </c>
      <c r="K165" s="83" t="s">
        <v>1136</v>
      </c>
    </row>
    <row r="166" spans="1:11" ht="15.75" x14ac:dyDescent="0.25">
      <c r="A166" s="87" t="s">
        <v>890</v>
      </c>
      <c r="B166" s="87" t="s">
        <v>1009</v>
      </c>
      <c r="C166" s="83" t="s">
        <v>934</v>
      </c>
      <c r="D166" s="81" t="s">
        <v>854</v>
      </c>
      <c r="E166" s="81" t="s">
        <v>141</v>
      </c>
      <c r="F166" s="81" t="s">
        <v>855</v>
      </c>
      <c r="G166" s="83" t="s">
        <v>253</v>
      </c>
      <c r="H166" s="83" t="s">
        <v>897</v>
      </c>
      <c r="I166" s="83" t="s">
        <v>898</v>
      </c>
      <c r="J166" s="83" t="s">
        <v>971</v>
      </c>
      <c r="K166" s="83" t="s">
        <v>1137</v>
      </c>
    </row>
    <row r="167" spans="1:11" ht="15.75" x14ac:dyDescent="0.25">
      <c r="A167" s="87" t="s">
        <v>890</v>
      </c>
      <c r="B167" s="87" t="s">
        <v>1009</v>
      </c>
      <c r="C167" s="83" t="s">
        <v>968</v>
      </c>
      <c r="D167" s="81" t="s">
        <v>875</v>
      </c>
      <c r="E167" s="81" t="s">
        <v>141</v>
      </c>
      <c r="F167" s="81" t="s">
        <v>876</v>
      </c>
      <c r="G167" s="83" t="s">
        <v>253</v>
      </c>
      <c r="H167" s="83" t="s">
        <v>910</v>
      </c>
      <c r="I167" s="83" t="s">
        <v>911</v>
      </c>
      <c r="J167" s="83" t="s">
        <v>984</v>
      </c>
      <c r="K167" s="83" t="s">
        <v>1138</v>
      </c>
    </row>
    <row r="168" spans="1:11" ht="15.75" x14ac:dyDescent="0.25">
      <c r="A168" s="87" t="s">
        <v>890</v>
      </c>
      <c r="B168" s="87" t="s">
        <v>1009</v>
      </c>
      <c r="C168" s="83" t="s">
        <v>44</v>
      </c>
      <c r="D168" s="81" t="s">
        <v>859</v>
      </c>
      <c r="E168" s="81" t="s">
        <v>141</v>
      </c>
      <c r="F168" s="81" t="s">
        <v>188</v>
      </c>
      <c r="G168" s="83" t="s">
        <v>253</v>
      </c>
      <c r="H168" s="83" t="s">
        <v>288</v>
      </c>
      <c r="I168" s="83" t="s">
        <v>491</v>
      </c>
      <c r="J168" s="83" t="s">
        <v>972</v>
      </c>
      <c r="K168" s="83" t="s">
        <v>1139</v>
      </c>
    </row>
    <row r="169" spans="1:11" ht="15.75" x14ac:dyDescent="0.25">
      <c r="A169" s="87" t="s">
        <v>890</v>
      </c>
      <c r="B169" s="87" t="s">
        <v>1009</v>
      </c>
      <c r="C169" s="108" t="s">
        <v>551</v>
      </c>
      <c r="D169" s="107" t="s">
        <v>226</v>
      </c>
      <c r="E169" s="107" t="s">
        <v>161</v>
      </c>
      <c r="F169" s="107" t="s">
        <v>227</v>
      </c>
      <c r="G169" s="108" t="s">
        <v>321</v>
      </c>
      <c r="H169" s="108" t="s">
        <v>307</v>
      </c>
      <c r="I169" s="108" t="s">
        <v>514</v>
      </c>
      <c r="J169" s="108" t="s">
        <v>1028</v>
      </c>
      <c r="K169" s="108" t="s">
        <v>1141</v>
      </c>
    </row>
    <row r="170" spans="1:11" ht="15.75" x14ac:dyDescent="0.25">
      <c r="A170" s="87" t="s">
        <v>890</v>
      </c>
      <c r="B170" s="87" t="s">
        <v>1009</v>
      </c>
      <c r="C170" s="108" t="s">
        <v>960</v>
      </c>
      <c r="D170" s="107" t="s">
        <v>867</v>
      </c>
      <c r="E170" s="107" t="s">
        <v>161</v>
      </c>
      <c r="F170" s="107" t="s">
        <v>868</v>
      </c>
      <c r="G170" s="108" t="s">
        <v>321</v>
      </c>
      <c r="H170" s="108" t="s">
        <v>904</v>
      </c>
      <c r="I170" s="108" t="s">
        <v>905</v>
      </c>
      <c r="J170" s="108" t="s">
        <v>1027</v>
      </c>
      <c r="K170" s="108" t="s">
        <v>1145</v>
      </c>
    </row>
    <row r="171" spans="1:11" ht="15.75" x14ac:dyDescent="0.25">
      <c r="A171" s="87" t="s">
        <v>890</v>
      </c>
      <c r="B171" s="87" t="s">
        <v>1009</v>
      </c>
      <c r="C171" s="108" t="s">
        <v>607</v>
      </c>
      <c r="D171" s="107" t="s">
        <v>240</v>
      </c>
      <c r="E171" s="107" t="s">
        <v>161</v>
      </c>
      <c r="F171" s="107" t="s">
        <v>241</v>
      </c>
      <c r="G171" s="108" t="s">
        <v>321</v>
      </c>
      <c r="H171" s="108" t="s">
        <v>314</v>
      </c>
      <c r="I171" s="108" t="s">
        <v>522</v>
      </c>
      <c r="J171" s="108" t="s">
        <v>1031</v>
      </c>
      <c r="K171" s="108" t="s">
        <v>1152</v>
      </c>
    </row>
    <row r="172" spans="1:11" ht="15.75" x14ac:dyDescent="0.25">
      <c r="A172" s="87" t="s">
        <v>890</v>
      </c>
      <c r="B172" s="87" t="s">
        <v>1009</v>
      </c>
      <c r="C172" s="108" t="s">
        <v>550</v>
      </c>
      <c r="D172" s="107" t="s">
        <v>127</v>
      </c>
      <c r="E172" s="107" t="s">
        <v>128</v>
      </c>
      <c r="F172" s="107" t="s">
        <v>129</v>
      </c>
      <c r="G172" s="108" t="s">
        <v>321</v>
      </c>
      <c r="H172" s="108" t="s">
        <v>262</v>
      </c>
      <c r="I172" s="108" t="s">
        <v>458</v>
      </c>
      <c r="J172" s="108" t="s">
        <v>1021</v>
      </c>
      <c r="K172" s="108" t="s">
        <v>1140</v>
      </c>
    </row>
    <row r="173" spans="1:11" ht="15.75" x14ac:dyDescent="0.25">
      <c r="A173" s="87" t="s">
        <v>890</v>
      </c>
      <c r="B173" s="87" t="s">
        <v>1009</v>
      </c>
      <c r="C173" s="82" t="s">
        <v>553</v>
      </c>
      <c r="D173" s="79" t="s">
        <v>164</v>
      </c>
      <c r="E173" s="79" t="s">
        <v>114</v>
      </c>
      <c r="F173" s="79" t="s">
        <v>166</v>
      </c>
      <c r="G173" s="82" t="s">
        <v>320</v>
      </c>
      <c r="H173" s="82" t="s">
        <v>278</v>
      </c>
      <c r="I173" s="82" t="s">
        <v>480</v>
      </c>
      <c r="J173" s="82" t="s">
        <v>933</v>
      </c>
      <c r="K173" s="82" t="s">
        <v>1076</v>
      </c>
    </row>
    <row r="174" spans="1:11" ht="15.75" x14ac:dyDescent="0.25">
      <c r="A174" s="87" t="s">
        <v>890</v>
      </c>
      <c r="B174" s="87" t="s">
        <v>1009</v>
      </c>
      <c r="C174" s="82" t="s">
        <v>85</v>
      </c>
      <c r="D174" s="79" t="s">
        <v>120</v>
      </c>
      <c r="E174" s="79" t="s">
        <v>114</v>
      </c>
      <c r="F174" s="79" t="s">
        <v>121</v>
      </c>
      <c r="G174" s="82" t="s">
        <v>320</v>
      </c>
      <c r="H174" s="82" t="s">
        <v>259</v>
      </c>
      <c r="I174" s="82" t="s">
        <v>455</v>
      </c>
      <c r="J174" s="82" t="s">
        <v>913</v>
      </c>
      <c r="K174" s="82" t="s">
        <v>1078</v>
      </c>
    </row>
    <row r="175" spans="1:11" ht="15.75" x14ac:dyDescent="0.25">
      <c r="A175" s="87" t="s">
        <v>890</v>
      </c>
      <c r="B175" s="87" t="s">
        <v>1009</v>
      </c>
      <c r="C175" s="82" t="s">
        <v>558</v>
      </c>
      <c r="D175" s="79" t="s">
        <v>159</v>
      </c>
      <c r="E175" s="79" t="s">
        <v>114</v>
      </c>
      <c r="F175" s="79" t="s">
        <v>160</v>
      </c>
      <c r="G175" s="82" t="s">
        <v>320</v>
      </c>
      <c r="H175" s="82" t="s">
        <v>276</v>
      </c>
      <c r="I175" s="82" t="s">
        <v>476</v>
      </c>
      <c r="J175" s="82" t="s">
        <v>929</v>
      </c>
      <c r="K175" s="82" t="s">
        <v>1080</v>
      </c>
    </row>
    <row r="176" spans="1:11" ht="15.75" x14ac:dyDescent="0.25">
      <c r="A176" s="87" t="s">
        <v>890</v>
      </c>
      <c r="B176" s="87" t="s">
        <v>1009</v>
      </c>
      <c r="C176" s="82" t="s">
        <v>563</v>
      </c>
      <c r="D176" s="79" t="s">
        <v>214</v>
      </c>
      <c r="E176" s="79" t="s">
        <v>114</v>
      </c>
      <c r="F176" s="79" t="s">
        <v>215</v>
      </c>
      <c r="G176" s="82" t="s">
        <v>320</v>
      </c>
      <c r="H176" s="82" t="s">
        <v>301</v>
      </c>
      <c r="I176" s="82" t="s">
        <v>507</v>
      </c>
      <c r="J176" s="82" t="s">
        <v>955</v>
      </c>
      <c r="K176" s="82" t="s">
        <v>1083</v>
      </c>
    </row>
    <row r="177" spans="1:11" ht="15.75" x14ac:dyDescent="0.25">
      <c r="A177" s="87" t="s">
        <v>890</v>
      </c>
      <c r="B177" s="87" t="s">
        <v>1009</v>
      </c>
      <c r="C177" s="82" t="s">
        <v>566</v>
      </c>
      <c r="D177" s="79" t="s">
        <v>146</v>
      </c>
      <c r="E177" s="79" t="s">
        <v>114</v>
      </c>
      <c r="F177" s="79" t="s">
        <v>147</v>
      </c>
      <c r="G177" s="82" t="s">
        <v>320</v>
      </c>
      <c r="H177" s="82" t="s">
        <v>270</v>
      </c>
      <c r="I177" s="82" t="s">
        <v>468</v>
      </c>
      <c r="J177" s="82" t="s">
        <v>924</v>
      </c>
      <c r="K177" s="82" t="s">
        <v>1084</v>
      </c>
    </row>
    <row r="178" spans="1:11" ht="15.75" x14ac:dyDescent="0.25">
      <c r="A178" s="87" t="s">
        <v>890</v>
      </c>
      <c r="B178" s="87" t="s">
        <v>1009</v>
      </c>
      <c r="C178" s="82" t="s">
        <v>953</v>
      </c>
      <c r="D178" s="79" t="s">
        <v>863</v>
      </c>
      <c r="E178" s="79" t="s">
        <v>114</v>
      </c>
      <c r="F178" s="79" t="s">
        <v>864</v>
      </c>
      <c r="G178" s="82" t="s">
        <v>320</v>
      </c>
      <c r="H178" s="82" t="s">
        <v>901</v>
      </c>
      <c r="I178" s="82" t="s">
        <v>902</v>
      </c>
      <c r="J178" s="82" t="s">
        <v>954</v>
      </c>
      <c r="K178" s="82" t="s">
        <v>1088</v>
      </c>
    </row>
    <row r="179" spans="1:11" ht="15.75" x14ac:dyDescent="0.25">
      <c r="A179" s="87" t="s">
        <v>890</v>
      </c>
      <c r="B179" s="87" t="s">
        <v>1009</v>
      </c>
      <c r="C179" s="82" t="s">
        <v>575</v>
      </c>
      <c r="D179" s="79" t="s">
        <v>220</v>
      </c>
      <c r="E179" s="79" t="s">
        <v>114</v>
      </c>
      <c r="F179" s="79" t="s">
        <v>221</v>
      </c>
      <c r="G179" s="82" t="s">
        <v>320</v>
      </c>
      <c r="H179" s="82" t="s">
        <v>304</v>
      </c>
      <c r="I179" s="82" t="s">
        <v>510</v>
      </c>
      <c r="J179" s="82" t="s">
        <v>958</v>
      </c>
      <c r="K179" s="82" t="s">
        <v>1093</v>
      </c>
    </row>
    <row r="180" spans="1:11" ht="15.75" x14ac:dyDescent="0.25">
      <c r="A180" s="87" t="s">
        <v>890</v>
      </c>
      <c r="B180" s="87" t="s">
        <v>1009</v>
      </c>
      <c r="C180" s="82" t="s">
        <v>88</v>
      </c>
      <c r="D180" s="79" t="s">
        <v>152</v>
      </c>
      <c r="E180" s="79" t="s">
        <v>114</v>
      </c>
      <c r="F180" s="79" t="s">
        <v>153</v>
      </c>
      <c r="G180" s="82" t="s">
        <v>320</v>
      </c>
      <c r="H180" s="82" t="s">
        <v>273</v>
      </c>
      <c r="I180" s="82" t="s">
        <v>472</v>
      </c>
      <c r="J180" s="82" t="s">
        <v>927</v>
      </c>
      <c r="K180" s="82" t="s">
        <v>1094</v>
      </c>
    </row>
    <row r="181" spans="1:11" ht="15.75" x14ac:dyDescent="0.25">
      <c r="A181" s="87" t="s">
        <v>890</v>
      </c>
      <c r="B181" s="87" t="s">
        <v>1009</v>
      </c>
      <c r="C181" s="82" t="s">
        <v>579</v>
      </c>
      <c r="D181" s="79" t="s">
        <v>208</v>
      </c>
      <c r="E181" s="79" t="s">
        <v>114</v>
      </c>
      <c r="F181" s="79" t="s">
        <v>209</v>
      </c>
      <c r="G181" s="82" t="s">
        <v>320</v>
      </c>
      <c r="H181" s="82" t="s">
        <v>298</v>
      </c>
      <c r="I181" s="82" t="s">
        <v>503</v>
      </c>
      <c r="J181" s="82" t="s">
        <v>951</v>
      </c>
      <c r="K181" s="82" t="s">
        <v>1095</v>
      </c>
    </row>
    <row r="182" spans="1:11" ht="15.75" x14ac:dyDescent="0.25">
      <c r="A182" s="87" t="s">
        <v>890</v>
      </c>
      <c r="B182" s="87" t="s">
        <v>1009</v>
      </c>
      <c r="C182" s="82" t="s">
        <v>582</v>
      </c>
      <c r="D182" s="79" t="s">
        <v>222</v>
      </c>
      <c r="E182" s="79" t="s">
        <v>114</v>
      </c>
      <c r="F182" s="79" t="s">
        <v>223</v>
      </c>
      <c r="G182" s="82" t="s">
        <v>320</v>
      </c>
      <c r="H182" s="82" t="s">
        <v>305</v>
      </c>
      <c r="I182" s="82" t="s">
        <v>511</v>
      </c>
      <c r="J182" s="82" t="s">
        <v>959</v>
      </c>
      <c r="K182" s="82" t="s">
        <v>1096</v>
      </c>
    </row>
    <row r="183" spans="1:11" ht="15.75" x14ac:dyDescent="0.25">
      <c r="A183" s="87" t="s">
        <v>890</v>
      </c>
      <c r="B183" s="87" t="s">
        <v>1009</v>
      </c>
      <c r="C183" s="82" t="s">
        <v>583</v>
      </c>
      <c r="D183" s="79" t="s">
        <v>122</v>
      </c>
      <c r="E183" s="79" t="s">
        <v>114</v>
      </c>
      <c r="F183" s="79" t="s">
        <v>123</v>
      </c>
      <c r="G183" s="82" t="s">
        <v>320</v>
      </c>
      <c r="H183" s="82" t="s">
        <v>260</v>
      </c>
      <c r="I183" s="82" t="s">
        <v>456</v>
      </c>
      <c r="J183" s="82" t="s">
        <v>914</v>
      </c>
      <c r="K183" s="82" t="s">
        <v>1097</v>
      </c>
    </row>
    <row r="184" spans="1:11" ht="15.75" x14ac:dyDescent="0.25">
      <c r="A184" s="87" t="s">
        <v>890</v>
      </c>
      <c r="B184" s="87" t="s">
        <v>1009</v>
      </c>
      <c r="C184" s="82" t="s">
        <v>915</v>
      </c>
      <c r="D184" s="79" t="s">
        <v>851</v>
      </c>
      <c r="E184" s="79" t="s">
        <v>114</v>
      </c>
      <c r="F184" s="79" t="s">
        <v>852</v>
      </c>
      <c r="G184" s="82" t="s">
        <v>320</v>
      </c>
      <c r="H184" s="82" t="s">
        <v>894</v>
      </c>
      <c r="I184" s="82" t="s">
        <v>895</v>
      </c>
      <c r="J184" s="82" t="s">
        <v>916</v>
      </c>
      <c r="K184" s="82" t="s">
        <v>1098</v>
      </c>
    </row>
    <row r="185" spans="1:11" ht="15.75" x14ac:dyDescent="0.25">
      <c r="A185" s="87" t="s">
        <v>890</v>
      </c>
      <c r="B185" s="87" t="s">
        <v>1009</v>
      </c>
      <c r="C185" s="82" t="s">
        <v>586</v>
      </c>
      <c r="D185" s="79" t="s">
        <v>174</v>
      </c>
      <c r="E185" s="79" t="s">
        <v>114</v>
      </c>
      <c r="F185" s="79" t="s">
        <v>175</v>
      </c>
      <c r="G185" s="82" t="s">
        <v>320</v>
      </c>
      <c r="H185" s="82" t="s">
        <v>282</v>
      </c>
      <c r="I185" s="82" t="s">
        <v>485</v>
      </c>
      <c r="J185" s="82" t="s">
        <v>938</v>
      </c>
      <c r="K185" s="82" t="s">
        <v>1100</v>
      </c>
    </row>
    <row r="186" spans="1:11" ht="15.75" x14ac:dyDescent="0.25">
      <c r="A186" s="87" t="s">
        <v>890</v>
      </c>
      <c r="B186" s="87" t="s">
        <v>1009</v>
      </c>
      <c r="C186" s="82" t="s">
        <v>587</v>
      </c>
      <c r="D186" s="79" t="s">
        <v>138</v>
      </c>
      <c r="E186" s="79" t="s">
        <v>114</v>
      </c>
      <c r="F186" s="79" t="s">
        <v>139</v>
      </c>
      <c r="G186" s="82" t="s">
        <v>320</v>
      </c>
      <c r="H186" s="82" t="s">
        <v>267</v>
      </c>
      <c r="I186" s="82" t="s">
        <v>464</v>
      </c>
      <c r="J186" s="82" t="s">
        <v>922</v>
      </c>
      <c r="K186" s="82" t="s">
        <v>1101</v>
      </c>
    </row>
    <row r="187" spans="1:11" ht="15.75" x14ac:dyDescent="0.25">
      <c r="A187" s="87" t="s">
        <v>890</v>
      </c>
      <c r="B187" s="87" t="s">
        <v>1009</v>
      </c>
      <c r="C187" s="82" t="s">
        <v>590</v>
      </c>
      <c r="D187" s="79" t="s">
        <v>202</v>
      </c>
      <c r="E187" s="79" t="s">
        <v>114</v>
      </c>
      <c r="F187" s="79" t="s">
        <v>203</v>
      </c>
      <c r="G187" s="82" t="s">
        <v>320</v>
      </c>
      <c r="H187" s="82" t="s">
        <v>295</v>
      </c>
      <c r="I187" s="82" t="s">
        <v>499</v>
      </c>
      <c r="J187" s="82" t="s">
        <v>948</v>
      </c>
      <c r="K187" s="82" t="s">
        <v>1104</v>
      </c>
    </row>
    <row r="188" spans="1:11" ht="15.75" x14ac:dyDescent="0.25">
      <c r="A188" s="87" t="s">
        <v>890</v>
      </c>
      <c r="B188" s="87" t="s">
        <v>1009</v>
      </c>
      <c r="C188" s="82" t="s">
        <v>41</v>
      </c>
      <c r="D188" s="79" t="s">
        <v>150</v>
      </c>
      <c r="E188" s="79" t="s">
        <v>114</v>
      </c>
      <c r="F188" s="79" t="s">
        <v>151</v>
      </c>
      <c r="G188" s="82" t="s">
        <v>320</v>
      </c>
      <c r="H188" s="82" t="s">
        <v>272</v>
      </c>
      <c r="I188" s="82" t="s">
        <v>470</v>
      </c>
      <c r="J188" s="82" t="s">
        <v>926</v>
      </c>
      <c r="K188" s="82" t="s">
        <v>1108</v>
      </c>
    </row>
    <row r="189" spans="1:11" ht="15.75" x14ac:dyDescent="0.25">
      <c r="A189" s="87" t="s">
        <v>890</v>
      </c>
      <c r="B189" s="87" t="s">
        <v>1009</v>
      </c>
      <c r="C189" s="82" t="s">
        <v>593</v>
      </c>
      <c r="D189" s="79" t="s">
        <v>180</v>
      </c>
      <c r="E189" s="79" t="s">
        <v>114</v>
      </c>
      <c r="F189" s="79" t="s">
        <v>181</v>
      </c>
      <c r="G189" s="82" t="s">
        <v>320</v>
      </c>
      <c r="H189" s="82" t="s">
        <v>285</v>
      </c>
      <c r="I189" s="82" t="s">
        <v>488</v>
      </c>
      <c r="J189" s="82" t="s">
        <v>941</v>
      </c>
      <c r="K189" s="82" t="s">
        <v>1109</v>
      </c>
    </row>
    <row r="190" spans="1:11" ht="15.75" x14ac:dyDescent="0.25">
      <c r="A190" s="87" t="s">
        <v>890</v>
      </c>
      <c r="B190" s="87" t="s">
        <v>1009</v>
      </c>
      <c r="C190" s="82" t="s">
        <v>29</v>
      </c>
      <c r="D190" s="79" t="s">
        <v>230</v>
      </c>
      <c r="E190" s="79" t="s">
        <v>114</v>
      </c>
      <c r="F190" s="79" t="s">
        <v>231</v>
      </c>
      <c r="G190" s="82" t="s">
        <v>320</v>
      </c>
      <c r="H190" s="82" t="s">
        <v>309</v>
      </c>
      <c r="I190" s="82" t="s">
        <v>517</v>
      </c>
      <c r="J190" s="82" t="s">
        <v>961</v>
      </c>
      <c r="K190" s="82" t="s">
        <v>1111</v>
      </c>
    </row>
    <row r="191" spans="1:11" ht="15.75" x14ac:dyDescent="0.25">
      <c r="A191" s="87" t="s">
        <v>890</v>
      </c>
      <c r="B191" s="87" t="s">
        <v>1009</v>
      </c>
      <c r="C191" s="82" t="s">
        <v>596</v>
      </c>
      <c r="D191" s="79" t="s">
        <v>212</v>
      </c>
      <c r="E191" s="79" t="s">
        <v>114</v>
      </c>
      <c r="F191" s="79" t="s">
        <v>213</v>
      </c>
      <c r="G191" s="82" t="s">
        <v>320</v>
      </c>
      <c r="H191" s="82" t="s">
        <v>300</v>
      </c>
      <c r="I191" s="82" t="s">
        <v>505</v>
      </c>
      <c r="J191" s="82" t="s">
        <v>952</v>
      </c>
      <c r="K191" s="82" t="s">
        <v>1113</v>
      </c>
    </row>
    <row r="192" spans="1:11" ht="15.75" x14ac:dyDescent="0.25">
      <c r="A192" s="87" t="s">
        <v>890</v>
      </c>
      <c r="B192" s="87" t="s">
        <v>1009</v>
      </c>
      <c r="C192" s="82" t="s">
        <v>598</v>
      </c>
      <c r="D192" s="79" t="s">
        <v>336</v>
      </c>
      <c r="E192" s="79" t="s">
        <v>114</v>
      </c>
      <c r="F192" s="79" t="s">
        <v>337</v>
      </c>
      <c r="G192" s="82" t="s">
        <v>320</v>
      </c>
      <c r="H192" s="82" t="s">
        <v>439</v>
      </c>
      <c r="I192" s="82" t="s">
        <v>461</v>
      </c>
      <c r="J192" s="82" t="s">
        <v>920</v>
      </c>
      <c r="K192" s="82" t="s">
        <v>1115</v>
      </c>
    </row>
    <row r="193" spans="1:11" ht="15.75" x14ac:dyDescent="0.25">
      <c r="A193" s="87" t="s">
        <v>890</v>
      </c>
      <c r="B193" s="87" t="s">
        <v>1009</v>
      </c>
      <c r="C193" s="82" t="s">
        <v>601</v>
      </c>
      <c r="D193" s="79" t="s">
        <v>162</v>
      </c>
      <c r="E193" s="79" t="s">
        <v>114</v>
      </c>
      <c r="F193" s="79" t="s">
        <v>163</v>
      </c>
      <c r="G193" s="82" t="s">
        <v>320</v>
      </c>
      <c r="H193" s="82" t="s">
        <v>277</v>
      </c>
      <c r="I193" s="82" t="s">
        <v>478</v>
      </c>
      <c r="J193" s="82" t="s">
        <v>931</v>
      </c>
      <c r="K193" s="82" t="s">
        <v>1119</v>
      </c>
    </row>
    <row r="194" spans="1:11" ht="15.75" x14ac:dyDescent="0.25">
      <c r="A194" s="87" t="s">
        <v>890</v>
      </c>
      <c r="B194" s="87" t="s">
        <v>1009</v>
      </c>
      <c r="C194" s="82" t="s">
        <v>602</v>
      </c>
      <c r="D194" s="79" t="s">
        <v>176</v>
      </c>
      <c r="E194" s="79" t="s">
        <v>114</v>
      </c>
      <c r="F194" s="79" t="s">
        <v>177</v>
      </c>
      <c r="G194" s="82" t="s">
        <v>320</v>
      </c>
      <c r="H194" s="82" t="s">
        <v>283</v>
      </c>
      <c r="I194" s="82" t="s">
        <v>486</v>
      </c>
      <c r="J194" s="82" t="s">
        <v>939</v>
      </c>
      <c r="K194" s="82" t="s">
        <v>1120</v>
      </c>
    </row>
    <row r="195" spans="1:11" ht="15.75" x14ac:dyDescent="0.25">
      <c r="A195" s="87" t="s">
        <v>890</v>
      </c>
      <c r="B195" s="87" t="s">
        <v>1009</v>
      </c>
      <c r="C195" s="82" t="s">
        <v>38</v>
      </c>
      <c r="D195" s="79" t="s">
        <v>113</v>
      </c>
      <c r="E195" s="79" t="s">
        <v>114</v>
      </c>
      <c r="F195" s="79" t="s">
        <v>116</v>
      </c>
      <c r="G195" s="82" t="s">
        <v>320</v>
      </c>
      <c r="H195" s="82" t="s">
        <v>257</v>
      </c>
      <c r="I195" s="82" t="s">
        <v>453</v>
      </c>
      <c r="J195" s="82" t="s">
        <v>912</v>
      </c>
      <c r="K195" s="82" t="s">
        <v>1121</v>
      </c>
    </row>
    <row r="196" spans="1:11" ht="15.75" x14ac:dyDescent="0.25">
      <c r="A196" s="87" t="s">
        <v>890</v>
      </c>
      <c r="B196" s="87" t="s">
        <v>1009</v>
      </c>
      <c r="C196" s="82" t="s">
        <v>605</v>
      </c>
      <c r="D196" s="79" t="s">
        <v>132</v>
      </c>
      <c r="E196" s="79" t="s">
        <v>114</v>
      </c>
      <c r="F196" s="79" t="s">
        <v>133</v>
      </c>
      <c r="G196" s="82" t="s">
        <v>320</v>
      </c>
      <c r="H196" s="82" t="s">
        <v>264</v>
      </c>
      <c r="I196" s="82" t="s">
        <v>460</v>
      </c>
      <c r="J196" s="82" t="s">
        <v>919</v>
      </c>
      <c r="K196" s="82" t="s">
        <v>1123</v>
      </c>
    </row>
    <row r="197" spans="1:11" ht="15.75" x14ac:dyDescent="0.25">
      <c r="A197" s="87" t="s">
        <v>890</v>
      </c>
      <c r="B197" s="87" t="s">
        <v>1009</v>
      </c>
      <c r="C197" s="82" t="s">
        <v>557</v>
      </c>
      <c r="D197" s="79" t="s">
        <v>189</v>
      </c>
      <c r="E197" s="79" t="s">
        <v>125</v>
      </c>
      <c r="F197" s="79" t="s">
        <v>190</v>
      </c>
      <c r="G197" s="82" t="s">
        <v>320</v>
      </c>
      <c r="H197" s="82" t="s">
        <v>289</v>
      </c>
      <c r="I197" s="82" t="s">
        <v>492</v>
      </c>
      <c r="J197" s="82" t="s">
        <v>943</v>
      </c>
      <c r="K197" s="82" t="s">
        <v>1079</v>
      </c>
    </row>
    <row r="198" spans="1:11" ht="15.75" x14ac:dyDescent="0.25">
      <c r="A198" s="87" t="s">
        <v>890</v>
      </c>
      <c r="B198" s="87" t="s">
        <v>1009</v>
      </c>
      <c r="C198" s="82" t="s">
        <v>559</v>
      </c>
      <c r="D198" s="79" t="s">
        <v>182</v>
      </c>
      <c r="E198" s="79" t="s">
        <v>125</v>
      </c>
      <c r="F198" s="79" t="s">
        <v>183</v>
      </c>
      <c r="G198" s="82" t="s">
        <v>320</v>
      </c>
      <c r="H198" s="82" t="s">
        <v>286</v>
      </c>
      <c r="I198" s="82" t="s">
        <v>489</v>
      </c>
      <c r="J198" s="82" t="s">
        <v>942</v>
      </c>
      <c r="K198" s="82" t="s">
        <v>1081</v>
      </c>
    </row>
    <row r="199" spans="1:11" ht="15.75" x14ac:dyDescent="0.25">
      <c r="A199" s="87" t="s">
        <v>890</v>
      </c>
      <c r="B199" s="87" t="s">
        <v>1009</v>
      </c>
      <c r="C199" s="82" t="s">
        <v>561</v>
      </c>
      <c r="D199" s="79" t="s">
        <v>130</v>
      </c>
      <c r="E199" s="79" t="s">
        <v>125</v>
      </c>
      <c r="F199" s="79" t="s">
        <v>131</v>
      </c>
      <c r="G199" s="82" t="s">
        <v>320</v>
      </c>
      <c r="H199" s="82" t="s">
        <v>263</v>
      </c>
      <c r="I199" s="82" t="s">
        <v>459</v>
      </c>
      <c r="J199" s="82" t="s">
        <v>918</v>
      </c>
      <c r="K199" s="82" t="s">
        <v>1082</v>
      </c>
    </row>
    <row r="200" spans="1:11" ht="15.75" x14ac:dyDescent="0.25">
      <c r="A200" s="87" t="s">
        <v>890</v>
      </c>
      <c r="B200" s="87" t="s">
        <v>1009</v>
      </c>
      <c r="C200" s="82" t="s">
        <v>567</v>
      </c>
      <c r="D200" s="79" t="s">
        <v>198</v>
      </c>
      <c r="E200" s="79" t="s">
        <v>125</v>
      </c>
      <c r="F200" s="79" t="s">
        <v>199</v>
      </c>
      <c r="G200" s="82" t="s">
        <v>320</v>
      </c>
      <c r="H200" s="82" t="s">
        <v>293</v>
      </c>
      <c r="I200" s="82" t="s">
        <v>496</v>
      </c>
      <c r="J200" s="82" t="s">
        <v>945</v>
      </c>
      <c r="K200" s="82" t="s">
        <v>1085</v>
      </c>
    </row>
    <row r="201" spans="1:11" ht="15.75" x14ac:dyDescent="0.25">
      <c r="A201" s="87" t="s">
        <v>890</v>
      </c>
      <c r="B201" s="87" t="s">
        <v>1009</v>
      </c>
      <c r="C201" s="82" t="s">
        <v>59</v>
      </c>
      <c r="D201" s="79" t="s">
        <v>134</v>
      </c>
      <c r="E201" s="79" t="s">
        <v>125</v>
      </c>
      <c r="F201" s="79" t="s">
        <v>135</v>
      </c>
      <c r="G201" s="82" t="s">
        <v>320</v>
      </c>
      <c r="H201" s="82" t="s">
        <v>265</v>
      </c>
      <c r="I201" s="82" t="s">
        <v>462</v>
      </c>
      <c r="J201" s="82" t="s">
        <v>921</v>
      </c>
      <c r="K201" s="82" t="s">
        <v>1089</v>
      </c>
    </row>
    <row r="202" spans="1:11" ht="15.75" x14ac:dyDescent="0.25">
      <c r="A202" s="87" t="s">
        <v>890</v>
      </c>
      <c r="B202" s="87" t="s">
        <v>1009</v>
      </c>
      <c r="C202" s="82" t="s">
        <v>571</v>
      </c>
      <c r="D202" s="79" t="s">
        <v>356</v>
      </c>
      <c r="E202" s="79" t="s">
        <v>125</v>
      </c>
      <c r="F202" s="79" t="s">
        <v>357</v>
      </c>
      <c r="G202" s="82" t="s">
        <v>320</v>
      </c>
      <c r="H202" s="82" t="s">
        <v>442</v>
      </c>
      <c r="I202" s="82" t="s">
        <v>475</v>
      </c>
      <c r="J202" s="82" t="s">
        <v>928</v>
      </c>
      <c r="K202" s="82" t="s">
        <v>1090</v>
      </c>
    </row>
    <row r="203" spans="1:11" ht="15.75" x14ac:dyDescent="0.25">
      <c r="A203" s="87" t="s">
        <v>890</v>
      </c>
      <c r="B203" s="87" t="s">
        <v>1009</v>
      </c>
      <c r="C203" s="82" t="s">
        <v>572</v>
      </c>
      <c r="D203" s="79" t="s">
        <v>191</v>
      </c>
      <c r="E203" s="79" t="s">
        <v>125</v>
      </c>
      <c r="F203" s="79" t="s">
        <v>192</v>
      </c>
      <c r="G203" s="82" t="s">
        <v>320</v>
      </c>
      <c r="H203" s="82" t="s">
        <v>290</v>
      </c>
      <c r="I203" s="82" t="s">
        <v>493</v>
      </c>
      <c r="J203" s="82" t="s">
        <v>944</v>
      </c>
      <c r="K203" s="82" t="s">
        <v>1091</v>
      </c>
    </row>
    <row r="204" spans="1:11" ht="15.75" x14ac:dyDescent="0.25">
      <c r="A204" s="87" t="s">
        <v>890</v>
      </c>
      <c r="B204" s="87" t="s">
        <v>1009</v>
      </c>
      <c r="C204" s="82" t="s">
        <v>588</v>
      </c>
      <c r="D204" s="79" t="s">
        <v>232</v>
      </c>
      <c r="E204" s="79" t="s">
        <v>125</v>
      </c>
      <c r="F204" s="79" t="s">
        <v>233</v>
      </c>
      <c r="G204" s="82" t="s">
        <v>320</v>
      </c>
      <c r="H204" s="82" t="s">
        <v>310</v>
      </c>
      <c r="I204" s="82" t="s">
        <v>518</v>
      </c>
      <c r="J204" s="82" t="s">
        <v>962</v>
      </c>
      <c r="K204" s="82" t="s">
        <v>1102</v>
      </c>
    </row>
    <row r="205" spans="1:11" ht="15.75" x14ac:dyDescent="0.25">
      <c r="A205" s="87" t="s">
        <v>890</v>
      </c>
      <c r="B205" s="87" t="s">
        <v>1009</v>
      </c>
      <c r="C205" s="82" t="s">
        <v>589</v>
      </c>
      <c r="D205" s="79" t="s">
        <v>172</v>
      </c>
      <c r="E205" s="79" t="s">
        <v>125</v>
      </c>
      <c r="F205" s="79" t="s">
        <v>173</v>
      </c>
      <c r="G205" s="82" t="s">
        <v>320</v>
      </c>
      <c r="H205" s="82" t="s">
        <v>281</v>
      </c>
      <c r="I205" s="82" t="s">
        <v>484</v>
      </c>
      <c r="J205" s="82" t="s">
        <v>937</v>
      </c>
      <c r="K205" s="82" t="s">
        <v>1103</v>
      </c>
    </row>
    <row r="206" spans="1:11" ht="15.75" x14ac:dyDescent="0.25">
      <c r="A206" s="87" t="s">
        <v>890</v>
      </c>
      <c r="B206" s="87" t="s">
        <v>1009</v>
      </c>
      <c r="C206" s="82" t="s">
        <v>69</v>
      </c>
      <c r="D206" s="79" t="s">
        <v>124</v>
      </c>
      <c r="E206" s="79" t="s">
        <v>125</v>
      </c>
      <c r="F206" s="79" t="s">
        <v>126</v>
      </c>
      <c r="G206" s="82" t="s">
        <v>320</v>
      </c>
      <c r="H206" s="82" t="s">
        <v>261</v>
      </c>
      <c r="I206" s="82" t="s">
        <v>457</v>
      </c>
      <c r="J206" s="82" t="s">
        <v>917</v>
      </c>
      <c r="K206" s="82" t="s">
        <v>1105</v>
      </c>
    </row>
    <row r="207" spans="1:11" ht="15.75" x14ac:dyDescent="0.25">
      <c r="A207" s="87" t="s">
        <v>890</v>
      </c>
      <c r="B207" s="87" t="s">
        <v>1009</v>
      </c>
      <c r="C207" s="82" t="s">
        <v>64</v>
      </c>
      <c r="D207" s="79" t="s">
        <v>242</v>
      </c>
      <c r="E207" s="79" t="s">
        <v>125</v>
      </c>
      <c r="F207" s="79" t="s">
        <v>243</v>
      </c>
      <c r="G207" s="82" t="s">
        <v>320</v>
      </c>
      <c r="H207" s="82" t="s">
        <v>315</v>
      </c>
      <c r="I207" s="82" t="s">
        <v>523</v>
      </c>
      <c r="J207" s="82" t="s">
        <v>964</v>
      </c>
      <c r="K207" s="82" t="s">
        <v>1106</v>
      </c>
    </row>
    <row r="208" spans="1:11" ht="15.75" x14ac:dyDescent="0.25">
      <c r="A208" s="87" t="s">
        <v>890</v>
      </c>
      <c r="B208" s="87" t="s">
        <v>1009</v>
      </c>
      <c r="C208" s="82" t="s">
        <v>76</v>
      </c>
      <c r="D208" s="79" t="s">
        <v>178</v>
      </c>
      <c r="E208" s="79" t="s">
        <v>125</v>
      </c>
      <c r="F208" s="79" t="s">
        <v>179</v>
      </c>
      <c r="G208" s="82" t="s">
        <v>320</v>
      </c>
      <c r="H208" s="82" t="s">
        <v>284</v>
      </c>
      <c r="I208" s="82" t="s">
        <v>487</v>
      </c>
      <c r="J208" s="82" t="s">
        <v>940</v>
      </c>
      <c r="K208" s="82" t="s">
        <v>1116</v>
      </c>
    </row>
    <row r="209" spans="1:11" ht="15.75" x14ac:dyDescent="0.25">
      <c r="A209" s="87" t="s">
        <v>890</v>
      </c>
      <c r="B209" s="87" t="s">
        <v>1009</v>
      </c>
      <c r="C209" s="82" t="s">
        <v>956</v>
      </c>
      <c r="D209" s="79" t="s">
        <v>866</v>
      </c>
      <c r="E209" s="79" t="s">
        <v>125</v>
      </c>
      <c r="F209" s="79" t="s">
        <v>217</v>
      </c>
      <c r="G209" s="82" t="s">
        <v>320</v>
      </c>
      <c r="H209" s="82" t="s">
        <v>302</v>
      </c>
      <c r="I209" s="82" t="s">
        <v>903</v>
      </c>
      <c r="J209" s="82" t="s">
        <v>957</v>
      </c>
      <c r="K209" s="82" t="s">
        <v>1118</v>
      </c>
    </row>
    <row r="210" spans="1:11" ht="15.75" x14ac:dyDescent="0.25">
      <c r="A210" s="87" t="s">
        <v>890</v>
      </c>
      <c r="B210" s="87" t="s">
        <v>1009</v>
      </c>
      <c r="C210" s="82" t="s">
        <v>555</v>
      </c>
      <c r="D210" s="79" t="s">
        <v>368</v>
      </c>
      <c r="E210" s="79" t="s">
        <v>165</v>
      </c>
      <c r="F210" s="79" t="s">
        <v>369</v>
      </c>
      <c r="G210" s="82" t="s">
        <v>320</v>
      </c>
      <c r="H210" s="82" t="s">
        <v>445</v>
      </c>
      <c r="I210" s="82" t="s">
        <v>481</v>
      </c>
      <c r="J210" s="82" t="s">
        <v>935</v>
      </c>
      <c r="K210" s="82" t="s">
        <v>1077</v>
      </c>
    </row>
    <row r="211" spans="1:11" ht="15.75" x14ac:dyDescent="0.25">
      <c r="A211" s="87" t="s">
        <v>890</v>
      </c>
      <c r="B211" s="87" t="s">
        <v>1009</v>
      </c>
      <c r="C211" s="82" t="s">
        <v>592</v>
      </c>
      <c r="D211" s="79" t="s">
        <v>206</v>
      </c>
      <c r="E211" s="79" t="s">
        <v>165</v>
      </c>
      <c r="F211" s="79" t="s">
        <v>207</v>
      </c>
      <c r="G211" s="82" t="s">
        <v>320</v>
      </c>
      <c r="H211" s="82" t="s">
        <v>297</v>
      </c>
      <c r="I211" s="82" t="s">
        <v>502</v>
      </c>
      <c r="J211" s="82" t="s">
        <v>950</v>
      </c>
      <c r="K211" s="82" t="s">
        <v>1107</v>
      </c>
    </row>
    <row r="212" spans="1:11" ht="15.75" x14ac:dyDescent="0.25">
      <c r="A212" s="87" t="s">
        <v>890</v>
      </c>
      <c r="B212" s="87" t="s">
        <v>1009</v>
      </c>
      <c r="C212" s="82" t="s">
        <v>595</v>
      </c>
      <c r="D212" s="79" t="s">
        <v>360</v>
      </c>
      <c r="E212" s="79" t="s">
        <v>165</v>
      </c>
      <c r="F212" s="79" t="s">
        <v>361</v>
      </c>
      <c r="G212" s="82" t="s">
        <v>320</v>
      </c>
      <c r="H212" s="82" t="s">
        <v>443</v>
      </c>
      <c r="I212" s="82" t="s">
        <v>477</v>
      </c>
      <c r="J212" s="82" t="s">
        <v>930</v>
      </c>
      <c r="K212" s="82" t="s">
        <v>1112</v>
      </c>
    </row>
    <row r="213" spans="1:11" ht="15.75" x14ac:dyDescent="0.25">
      <c r="A213" s="87" t="s">
        <v>890</v>
      </c>
      <c r="B213" s="87" t="s">
        <v>1009</v>
      </c>
      <c r="C213" s="82" t="s">
        <v>597</v>
      </c>
      <c r="D213" s="79" t="s">
        <v>432</v>
      </c>
      <c r="E213" s="79" t="s">
        <v>165</v>
      </c>
      <c r="F213" s="79" t="s">
        <v>433</v>
      </c>
      <c r="G213" s="82" t="s">
        <v>320</v>
      </c>
      <c r="H213" s="82" t="s">
        <v>452</v>
      </c>
      <c r="I213" s="82" t="s">
        <v>524</v>
      </c>
      <c r="J213" s="82" t="s">
        <v>965</v>
      </c>
      <c r="K213" s="82" t="s">
        <v>1114</v>
      </c>
    </row>
    <row r="214" spans="1:11" ht="15.75" x14ac:dyDescent="0.25">
      <c r="A214" s="87" t="s">
        <v>890</v>
      </c>
      <c r="B214" s="87" t="s">
        <v>1009</v>
      </c>
      <c r="C214" s="82" t="s">
        <v>568</v>
      </c>
      <c r="D214" s="79" t="s">
        <v>170</v>
      </c>
      <c r="E214" s="79" t="s">
        <v>144</v>
      </c>
      <c r="F214" s="79" t="s">
        <v>171</v>
      </c>
      <c r="G214" s="82" t="s">
        <v>320</v>
      </c>
      <c r="H214" s="82" t="s">
        <v>280</v>
      </c>
      <c r="I214" s="82" t="s">
        <v>483</v>
      </c>
      <c r="J214" s="82" t="s">
        <v>936</v>
      </c>
      <c r="K214" s="82" t="s">
        <v>1086</v>
      </c>
    </row>
    <row r="215" spans="1:11" ht="15.75" x14ac:dyDescent="0.25">
      <c r="A215" s="87" t="s">
        <v>890</v>
      </c>
      <c r="B215" s="87" t="s">
        <v>1009</v>
      </c>
      <c r="C215" s="82" t="s">
        <v>569</v>
      </c>
      <c r="D215" s="79" t="s">
        <v>246</v>
      </c>
      <c r="E215" s="79" t="s">
        <v>144</v>
      </c>
      <c r="F215" s="79" t="s">
        <v>247</v>
      </c>
      <c r="G215" s="82" t="s">
        <v>320</v>
      </c>
      <c r="H215" s="82" t="s">
        <v>317</v>
      </c>
      <c r="I215" s="82" t="s">
        <v>526</v>
      </c>
      <c r="J215" s="82" t="s">
        <v>966</v>
      </c>
      <c r="K215" s="82" t="s">
        <v>1087</v>
      </c>
    </row>
    <row r="216" spans="1:11" ht="15.75" x14ac:dyDescent="0.25">
      <c r="A216" s="87" t="s">
        <v>890</v>
      </c>
      <c r="B216" s="87" t="s">
        <v>1009</v>
      </c>
      <c r="C216" s="82" t="s">
        <v>584</v>
      </c>
      <c r="D216" s="79" t="s">
        <v>364</v>
      </c>
      <c r="E216" s="79" t="s">
        <v>144</v>
      </c>
      <c r="F216" s="79" t="s">
        <v>365</v>
      </c>
      <c r="G216" s="82" t="s">
        <v>320</v>
      </c>
      <c r="H216" s="82" t="s">
        <v>444</v>
      </c>
      <c r="I216" s="82" t="s">
        <v>479</v>
      </c>
      <c r="J216" s="82" t="s">
        <v>932</v>
      </c>
      <c r="K216" s="82" t="s">
        <v>1099</v>
      </c>
    </row>
    <row r="217" spans="1:11" ht="15.75" x14ac:dyDescent="0.25">
      <c r="A217" s="87" t="s">
        <v>890</v>
      </c>
      <c r="B217" s="87" t="s">
        <v>1009</v>
      </c>
      <c r="C217" s="82" t="s">
        <v>946</v>
      </c>
      <c r="D217" s="79" t="s">
        <v>860</v>
      </c>
      <c r="E217" s="79" t="s">
        <v>144</v>
      </c>
      <c r="F217" s="79" t="s">
        <v>861</v>
      </c>
      <c r="G217" s="82" t="s">
        <v>320</v>
      </c>
      <c r="H217" s="82" t="s">
        <v>899</v>
      </c>
      <c r="I217" s="82" t="s">
        <v>900</v>
      </c>
      <c r="J217" s="82" t="s">
        <v>947</v>
      </c>
      <c r="K217" s="82" t="s">
        <v>1110</v>
      </c>
    </row>
    <row r="218" spans="1:11" ht="15.75" x14ac:dyDescent="0.25">
      <c r="A218" s="87" t="s">
        <v>890</v>
      </c>
      <c r="B218" s="87" t="s">
        <v>1009</v>
      </c>
      <c r="C218" s="82" t="s">
        <v>62</v>
      </c>
      <c r="D218" s="79" t="s">
        <v>143</v>
      </c>
      <c r="E218" s="79" t="s">
        <v>144</v>
      </c>
      <c r="F218" s="79" t="s">
        <v>145</v>
      </c>
      <c r="G218" s="82" t="s">
        <v>320</v>
      </c>
      <c r="H218" s="82" t="s">
        <v>269</v>
      </c>
      <c r="I218" s="82" t="s">
        <v>467</v>
      </c>
      <c r="J218" s="82" t="s">
        <v>923</v>
      </c>
      <c r="K218" s="82" t="s">
        <v>1117</v>
      </c>
    </row>
    <row r="219" spans="1:11" ht="15.75" x14ac:dyDescent="0.25">
      <c r="A219" s="87" t="s">
        <v>890</v>
      </c>
      <c r="B219" s="87" t="s">
        <v>1009</v>
      </c>
      <c r="C219" s="82" t="s">
        <v>604</v>
      </c>
      <c r="D219" s="79" t="s">
        <v>148</v>
      </c>
      <c r="E219" s="79" t="s">
        <v>144</v>
      </c>
      <c r="F219" s="79" t="s">
        <v>149</v>
      </c>
      <c r="G219" s="82" t="s">
        <v>320</v>
      </c>
      <c r="H219" s="82" t="s">
        <v>271</v>
      </c>
      <c r="I219" s="82" t="s">
        <v>469</v>
      </c>
      <c r="J219" s="82" t="s">
        <v>925</v>
      </c>
      <c r="K219" s="82" t="s">
        <v>1122</v>
      </c>
    </row>
    <row r="220" spans="1:11" ht="15.75" x14ac:dyDescent="0.25">
      <c r="A220" s="87" t="s">
        <v>890</v>
      </c>
      <c r="B220" s="87" t="s">
        <v>1009</v>
      </c>
      <c r="C220" s="82" t="s">
        <v>574</v>
      </c>
      <c r="D220" s="79" t="s">
        <v>397</v>
      </c>
      <c r="E220" s="79" t="s">
        <v>398</v>
      </c>
      <c r="F220" s="79" t="s">
        <v>399</v>
      </c>
      <c r="G220" s="82" t="s">
        <v>320</v>
      </c>
      <c r="H220" s="82" t="s">
        <v>448</v>
      </c>
      <c r="I220" s="82" t="s">
        <v>500</v>
      </c>
      <c r="J220" s="82" t="s">
        <v>949</v>
      </c>
      <c r="K220" s="82" t="s">
        <v>1092</v>
      </c>
    </row>
    <row r="221" spans="1:11" ht="15.75" x14ac:dyDescent="0.25">
      <c r="A221" s="87" t="s">
        <v>890</v>
      </c>
      <c r="B221" s="87" t="s">
        <v>1009</v>
      </c>
      <c r="C221" s="108" t="s">
        <v>570</v>
      </c>
      <c r="D221" s="107" t="s">
        <v>420</v>
      </c>
      <c r="E221" s="107" t="s">
        <v>421</v>
      </c>
      <c r="F221" s="107" t="s">
        <v>422</v>
      </c>
      <c r="G221" s="108" t="s">
        <v>321</v>
      </c>
      <c r="H221" s="108" t="s">
        <v>451</v>
      </c>
      <c r="I221" s="108" t="s">
        <v>516</v>
      </c>
      <c r="J221" s="108" t="s">
        <v>1029</v>
      </c>
      <c r="K221" s="108" t="s">
        <v>1146</v>
      </c>
    </row>
    <row r="222" spans="1:11" ht="15.75" x14ac:dyDescent="0.25">
      <c r="A222" s="87" t="s">
        <v>890</v>
      </c>
      <c r="B222" s="87" t="s">
        <v>1009</v>
      </c>
      <c r="C222" s="108" t="s">
        <v>573</v>
      </c>
      <c r="D222" s="107" t="s">
        <v>392</v>
      </c>
      <c r="E222" s="107" t="s">
        <v>393</v>
      </c>
      <c r="F222" s="107" t="s">
        <v>394</v>
      </c>
      <c r="G222" s="108" t="s">
        <v>321</v>
      </c>
      <c r="H222" s="108" t="s">
        <v>447</v>
      </c>
      <c r="I222" s="108" t="s">
        <v>498</v>
      </c>
      <c r="J222" s="108" t="s">
        <v>1026</v>
      </c>
      <c r="K222" s="108" t="s">
        <v>1147</v>
      </c>
    </row>
    <row r="223" spans="1:11" ht="15.75" x14ac:dyDescent="0.25">
      <c r="A223" s="87" t="s">
        <v>890</v>
      </c>
      <c r="B223" s="87" t="s">
        <v>1009</v>
      </c>
      <c r="C223" s="108" t="s">
        <v>580</v>
      </c>
      <c r="D223" s="107" t="s">
        <v>117</v>
      </c>
      <c r="E223" s="107" t="s">
        <v>118</v>
      </c>
      <c r="F223" s="107" t="s">
        <v>119</v>
      </c>
      <c r="G223" s="108" t="s">
        <v>321</v>
      </c>
      <c r="H223" s="108" t="s">
        <v>258</v>
      </c>
      <c r="I223" s="108" t="s">
        <v>454</v>
      </c>
      <c r="J223" s="108" t="s">
        <v>1020</v>
      </c>
      <c r="K223" s="108" t="s">
        <v>1148</v>
      </c>
    </row>
    <row r="224" spans="1:11" ht="15.75" x14ac:dyDescent="0.25">
      <c r="A224" s="87" t="s">
        <v>890</v>
      </c>
      <c r="B224" s="87" t="s">
        <v>1009</v>
      </c>
      <c r="C224" s="108" t="s">
        <v>564</v>
      </c>
      <c r="D224" s="107" t="s">
        <v>858</v>
      </c>
      <c r="E224" s="107" t="s">
        <v>185</v>
      </c>
      <c r="F224" s="107" t="s">
        <v>186</v>
      </c>
      <c r="G224" s="108" t="s">
        <v>321</v>
      </c>
      <c r="H224" s="108" t="s">
        <v>287</v>
      </c>
      <c r="I224" s="108" t="s">
        <v>490</v>
      </c>
      <c r="J224" s="108" t="s">
        <v>1024</v>
      </c>
      <c r="K224" s="108" t="s">
        <v>1144</v>
      </c>
    </row>
    <row r="225" spans="1:11" ht="15.75" x14ac:dyDescent="0.25">
      <c r="A225" s="87" t="s">
        <v>890</v>
      </c>
      <c r="B225" s="87" t="s">
        <v>1009</v>
      </c>
      <c r="C225" s="108" t="s">
        <v>594</v>
      </c>
      <c r="D225" s="107" t="s">
        <v>873</v>
      </c>
      <c r="E225" s="107" t="s">
        <v>194</v>
      </c>
      <c r="F225" s="107" t="s">
        <v>239</v>
      </c>
      <c r="G225" s="108" t="s">
        <v>321</v>
      </c>
      <c r="H225" s="108" t="s">
        <v>313</v>
      </c>
      <c r="I225" s="108" t="s">
        <v>521</v>
      </c>
      <c r="J225" s="108" t="s">
        <v>1030</v>
      </c>
      <c r="K225" s="108" t="s">
        <v>1150</v>
      </c>
    </row>
    <row r="226" spans="1:11" ht="15.75" x14ac:dyDescent="0.25">
      <c r="A226" s="87" t="s">
        <v>890</v>
      </c>
      <c r="B226" s="87" t="s">
        <v>1009</v>
      </c>
      <c r="C226" s="108" t="s">
        <v>79</v>
      </c>
      <c r="D226" s="107" t="s">
        <v>343</v>
      </c>
      <c r="E226" s="107" t="s">
        <v>194</v>
      </c>
      <c r="F226" s="107" t="s">
        <v>344</v>
      </c>
      <c r="G226" s="108" t="s">
        <v>321</v>
      </c>
      <c r="H226" s="108" t="s">
        <v>440</v>
      </c>
      <c r="I226" s="108" t="s">
        <v>466</v>
      </c>
      <c r="J226" s="108" t="s">
        <v>1022</v>
      </c>
      <c r="K226" s="108" t="s">
        <v>1151</v>
      </c>
    </row>
    <row r="227" spans="1:11" ht="15.75" x14ac:dyDescent="0.25">
      <c r="A227" s="87" t="s">
        <v>890</v>
      </c>
      <c r="B227" s="87" t="s">
        <v>1009</v>
      </c>
      <c r="C227" s="108" t="s">
        <v>53</v>
      </c>
      <c r="D227" s="107" t="s">
        <v>250</v>
      </c>
      <c r="E227" s="107" t="s">
        <v>251</v>
      </c>
      <c r="F227" s="107" t="s">
        <v>252</v>
      </c>
      <c r="G227" s="108" t="s">
        <v>321</v>
      </c>
      <c r="H227" s="108" t="s">
        <v>319</v>
      </c>
      <c r="I227" s="108" t="s">
        <v>528</v>
      </c>
      <c r="J227" s="108" t="s">
        <v>1032</v>
      </c>
      <c r="K227" s="108" t="s">
        <v>1143</v>
      </c>
    </row>
    <row r="228" spans="1:11" ht="15.75" x14ac:dyDescent="0.25">
      <c r="A228" s="87" t="s">
        <v>890</v>
      </c>
      <c r="B228" s="87" t="s">
        <v>1009</v>
      </c>
      <c r="C228" s="108" t="s">
        <v>556</v>
      </c>
      <c r="D228" s="107" t="s">
        <v>193</v>
      </c>
      <c r="E228" s="107" t="s">
        <v>383</v>
      </c>
      <c r="F228" s="107" t="s">
        <v>195</v>
      </c>
      <c r="G228" s="108" t="s">
        <v>321</v>
      </c>
      <c r="H228" s="108" t="s">
        <v>291</v>
      </c>
      <c r="I228" s="108" t="s">
        <v>494</v>
      </c>
      <c r="J228" s="108" t="s">
        <v>1025</v>
      </c>
      <c r="K228" s="108" t="s">
        <v>1142</v>
      </c>
    </row>
    <row r="229" spans="1:11" ht="15.75" x14ac:dyDescent="0.25">
      <c r="A229" s="87" t="s">
        <v>890</v>
      </c>
      <c r="B229" s="87" t="s">
        <v>1009</v>
      </c>
      <c r="C229" s="108" t="s">
        <v>581</v>
      </c>
      <c r="D229" s="107" t="s">
        <v>857</v>
      </c>
      <c r="E229" s="107" t="s">
        <v>168</v>
      </c>
      <c r="F229" s="107" t="s">
        <v>169</v>
      </c>
      <c r="G229" s="108" t="s">
        <v>321</v>
      </c>
      <c r="H229" s="108" t="s">
        <v>279</v>
      </c>
      <c r="I229" s="108" t="s">
        <v>482</v>
      </c>
      <c r="J229" s="108" t="s">
        <v>1023</v>
      </c>
      <c r="K229" s="108" t="s">
        <v>1149</v>
      </c>
    </row>
    <row r="230" spans="1:11" ht="15.75" x14ac:dyDescent="0.25">
      <c r="A230" s="85"/>
      <c r="B230" s="85"/>
      <c r="C230" s="85"/>
      <c r="D230" s="85"/>
      <c r="E230" s="85"/>
      <c r="F230" s="85"/>
      <c r="G230" s="85"/>
      <c r="H230" s="85"/>
      <c r="I230" s="85"/>
      <c r="J230" s="85"/>
      <c r="K230" s="85"/>
    </row>
    <row r="231" spans="1:11" ht="15.75" x14ac:dyDescent="0.25">
      <c r="A231" s="90"/>
      <c r="B231" s="90"/>
      <c r="C231" s="90"/>
      <c r="D231" s="160" t="s">
        <v>1154</v>
      </c>
      <c r="E231" s="92" t="s">
        <v>1008</v>
      </c>
      <c r="F231" s="93" t="s">
        <v>1009</v>
      </c>
      <c r="G231" s="94" t="s">
        <v>884</v>
      </c>
      <c r="H231" s="95" t="s">
        <v>1010</v>
      </c>
      <c r="I231" s="96" t="s">
        <v>635</v>
      </c>
      <c r="J231" s="97" t="s">
        <v>634</v>
      </c>
      <c r="K231" s="90"/>
    </row>
    <row r="232" spans="1:11" ht="15.75" x14ac:dyDescent="0.25">
      <c r="A232" s="90"/>
      <c r="B232" s="90"/>
      <c r="C232" s="106" t="s">
        <v>1037</v>
      </c>
      <c r="D232" s="160">
        <f>COUNTIF(G239:G251,"T")</f>
        <v>0</v>
      </c>
      <c r="E232" s="92">
        <f>COUNTIF(B239:B251,E231)</f>
        <v>0</v>
      </c>
      <c r="F232" s="93">
        <f>COUNTIF(B239:B251,F231)</f>
        <v>13</v>
      </c>
      <c r="G232" s="94">
        <f>COUNTIF(B239:B251,G231)</f>
        <v>0</v>
      </c>
      <c r="H232" s="95">
        <f>COUNTIF(B239:B251,H231)</f>
        <v>0</v>
      </c>
      <c r="I232" s="96">
        <f>SUM(E232:H232)</f>
        <v>13</v>
      </c>
      <c r="J232" s="150">
        <f>COUNTIF(D234:D236,"")</f>
        <v>3</v>
      </c>
      <c r="K232" s="90"/>
    </row>
    <row r="233" spans="1:11" ht="15.75" x14ac:dyDescent="0.25">
      <c r="A233" s="90"/>
      <c r="B233" s="90"/>
      <c r="C233" s="98" t="s">
        <v>631</v>
      </c>
      <c r="D233" s="98" t="s">
        <v>529</v>
      </c>
      <c r="E233" s="98" t="s">
        <v>107</v>
      </c>
      <c r="F233" s="124" t="s">
        <v>804</v>
      </c>
      <c r="G233" s="125"/>
      <c r="H233" s="125"/>
      <c r="I233" s="125"/>
      <c r="J233" s="126"/>
      <c r="K233" s="90"/>
    </row>
    <row r="234" spans="1:11" ht="15.75" x14ac:dyDescent="0.25">
      <c r="A234" s="90"/>
      <c r="B234" s="90"/>
      <c r="C234" s="87">
        <v>1</v>
      </c>
      <c r="D234" s="87"/>
      <c r="E234" s="87"/>
      <c r="F234" s="113"/>
      <c r="G234" s="114"/>
      <c r="H234" s="114"/>
      <c r="I234" s="114"/>
      <c r="J234" s="115"/>
      <c r="K234" s="90"/>
    </row>
    <row r="235" spans="1:11" ht="15.75" x14ac:dyDescent="0.25">
      <c r="A235" s="90"/>
      <c r="B235" s="90"/>
      <c r="C235" s="87">
        <v>2</v>
      </c>
      <c r="D235" s="87"/>
      <c r="E235" s="87"/>
      <c r="F235" s="113"/>
      <c r="G235" s="114"/>
      <c r="H235" s="114"/>
      <c r="I235" s="114"/>
      <c r="J235" s="115"/>
      <c r="K235" s="90"/>
    </row>
    <row r="236" spans="1:11" ht="15.75" x14ac:dyDescent="0.25">
      <c r="A236" s="90"/>
      <c r="B236" s="90"/>
      <c r="C236" s="87">
        <v>3</v>
      </c>
      <c r="D236" s="87"/>
      <c r="E236" s="87"/>
      <c r="F236" s="113"/>
      <c r="G236" s="114"/>
      <c r="H236" s="114"/>
      <c r="I236" s="114"/>
      <c r="J236" s="115"/>
      <c r="K236" s="90"/>
    </row>
    <row r="237" spans="1:11" ht="15.75" x14ac:dyDescent="0.25">
      <c r="A237" s="105"/>
      <c r="B237" s="105"/>
      <c r="C237" s="105"/>
      <c r="D237" s="105"/>
      <c r="E237" s="105"/>
      <c r="F237" s="105"/>
      <c r="G237" s="105"/>
      <c r="H237" s="105"/>
      <c r="I237" s="105"/>
      <c r="J237" s="105"/>
      <c r="K237" s="105"/>
    </row>
    <row r="238" spans="1:11" ht="15.75" x14ac:dyDescent="0.2">
      <c r="A238" s="100" t="s">
        <v>887</v>
      </c>
      <c r="B238" s="100" t="s">
        <v>1012</v>
      </c>
      <c r="C238" s="100" t="s">
        <v>108</v>
      </c>
      <c r="D238" s="100" t="s">
        <v>802</v>
      </c>
      <c r="E238" s="100" t="s">
        <v>109</v>
      </c>
      <c r="F238" s="100" t="s">
        <v>112</v>
      </c>
      <c r="G238" s="100" t="s">
        <v>111</v>
      </c>
      <c r="H238" s="100" t="s">
        <v>255</v>
      </c>
      <c r="I238" s="100" t="s">
        <v>256</v>
      </c>
      <c r="J238" s="100" t="s">
        <v>254</v>
      </c>
      <c r="K238" s="100" t="s">
        <v>803</v>
      </c>
    </row>
    <row r="239" spans="1:11" ht="15.75" x14ac:dyDescent="0.25">
      <c r="A239" s="87" t="s">
        <v>890</v>
      </c>
      <c r="B239" s="87" t="s">
        <v>1009</v>
      </c>
      <c r="C239" s="82" t="s">
        <v>553</v>
      </c>
      <c r="D239" s="79" t="s">
        <v>164</v>
      </c>
      <c r="E239" s="79" t="s">
        <v>114</v>
      </c>
      <c r="F239" s="79" t="s">
        <v>166</v>
      </c>
      <c r="G239" s="82" t="s">
        <v>320</v>
      </c>
      <c r="H239" s="82" t="s">
        <v>278</v>
      </c>
      <c r="I239" s="82" t="s">
        <v>480</v>
      </c>
      <c r="J239" s="82" t="s">
        <v>933</v>
      </c>
      <c r="K239" s="82" t="s">
        <v>1076</v>
      </c>
    </row>
    <row r="240" spans="1:11" ht="15.75" x14ac:dyDescent="0.25">
      <c r="A240" s="87" t="s">
        <v>890</v>
      </c>
      <c r="B240" s="87" t="s">
        <v>1009</v>
      </c>
      <c r="C240" s="82" t="s">
        <v>555</v>
      </c>
      <c r="D240" s="79" t="s">
        <v>368</v>
      </c>
      <c r="E240" s="79" t="s">
        <v>165</v>
      </c>
      <c r="F240" s="79" t="s">
        <v>369</v>
      </c>
      <c r="G240" s="82" t="s">
        <v>320</v>
      </c>
      <c r="H240" s="82" t="s">
        <v>445</v>
      </c>
      <c r="I240" s="82" t="s">
        <v>481</v>
      </c>
      <c r="J240" s="82" t="s">
        <v>935</v>
      </c>
      <c r="K240" s="82" t="s">
        <v>1077</v>
      </c>
    </row>
    <row r="241" spans="1:11" ht="15.75" x14ac:dyDescent="0.25">
      <c r="A241" s="87" t="s">
        <v>890</v>
      </c>
      <c r="B241" s="87" t="s">
        <v>1009</v>
      </c>
      <c r="C241" s="82" t="s">
        <v>85</v>
      </c>
      <c r="D241" s="79" t="s">
        <v>120</v>
      </c>
      <c r="E241" s="79" t="s">
        <v>114</v>
      </c>
      <c r="F241" s="79" t="s">
        <v>121</v>
      </c>
      <c r="G241" s="82" t="s">
        <v>320</v>
      </c>
      <c r="H241" s="82" t="s">
        <v>259</v>
      </c>
      <c r="I241" s="82" t="s">
        <v>455</v>
      </c>
      <c r="J241" s="82" t="s">
        <v>913</v>
      </c>
      <c r="K241" s="82" t="s">
        <v>1078</v>
      </c>
    </row>
    <row r="242" spans="1:11" ht="15.75" x14ac:dyDescent="0.25">
      <c r="A242" s="87" t="s">
        <v>890</v>
      </c>
      <c r="B242" s="87" t="s">
        <v>1009</v>
      </c>
      <c r="C242" s="82" t="s">
        <v>557</v>
      </c>
      <c r="D242" s="79" t="s">
        <v>189</v>
      </c>
      <c r="E242" s="79" t="s">
        <v>125</v>
      </c>
      <c r="F242" s="79" t="s">
        <v>190</v>
      </c>
      <c r="G242" s="82" t="s">
        <v>320</v>
      </c>
      <c r="H242" s="82" t="s">
        <v>289</v>
      </c>
      <c r="I242" s="82" t="s">
        <v>492</v>
      </c>
      <c r="J242" s="82" t="s">
        <v>943</v>
      </c>
      <c r="K242" s="82" t="s">
        <v>1079</v>
      </c>
    </row>
    <row r="243" spans="1:11" ht="15.75" x14ac:dyDescent="0.25">
      <c r="A243" s="87" t="s">
        <v>890</v>
      </c>
      <c r="B243" s="87" t="s">
        <v>1009</v>
      </c>
      <c r="C243" s="82" t="s">
        <v>558</v>
      </c>
      <c r="D243" s="79" t="s">
        <v>159</v>
      </c>
      <c r="E243" s="79" t="s">
        <v>114</v>
      </c>
      <c r="F243" s="79" t="s">
        <v>160</v>
      </c>
      <c r="G243" s="82" t="s">
        <v>320</v>
      </c>
      <c r="H243" s="82" t="s">
        <v>276</v>
      </c>
      <c r="I243" s="82" t="s">
        <v>476</v>
      </c>
      <c r="J243" s="82" t="s">
        <v>929</v>
      </c>
      <c r="K243" s="82" t="s">
        <v>1080</v>
      </c>
    </row>
    <row r="244" spans="1:11" ht="15.75" x14ac:dyDescent="0.25">
      <c r="A244" s="87" t="s">
        <v>890</v>
      </c>
      <c r="B244" s="87" t="s">
        <v>1009</v>
      </c>
      <c r="C244" s="82" t="s">
        <v>559</v>
      </c>
      <c r="D244" s="79" t="s">
        <v>182</v>
      </c>
      <c r="E244" s="79" t="s">
        <v>125</v>
      </c>
      <c r="F244" s="79" t="s">
        <v>183</v>
      </c>
      <c r="G244" s="82" t="s">
        <v>320</v>
      </c>
      <c r="H244" s="82" t="s">
        <v>286</v>
      </c>
      <c r="I244" s="82" t="s">
        <v>489</v>
      </c>
      <c r="J244" s="82" t="s">
        <v>942</v>
      </c>
      <c r="K244" s="82" t="s">
        <v>1081</v>
      </c>
    </row>
    <row r="245" spans="1:11" ht="15.75" x14ac:dyDescent="0.25">
      <c r="A245" s="87" t="s">
        <v>890</v>
      </c>
      <c r="B245" s="87" t="s">
        <v>1009</v>
      </c>
      <c r="C245" s="82" t="s">
        <v>561</v>
      </c>
      <c r="D245" s="79" t="s">
        <v>130</v>
      </c>
      <c r="E245" s="79" t="s">
        <v>125</v>
      </c>
      <c r="F245" s="79" t="s">
        <v>131</v>
      </c>
      <c r="G245" s="82" t="s">
        <v>320</v>
      </c>
      <c r="H245" s="82" t="s">
        <v>263</v>
      </c>
      <c r="I245" s="82" t="s">
        <v>459</v>
      </c>
      <c r="J245" s="82" t="s">
        <v>918</v>
      </c>
      <c r="K245" s="82" t="s">
        <v>1082</v>
      </c>
    </row>
    <row r="246" spans="1:11" ht="15.75" x14ac:dyDescent="0.25">
      <c r="A246" s="87" t="s">
        <v>890</v>
      </c>
      <c r="B246" s="87" t="s">
        <v>1009</v>
      </c>
      <c r="C246" s="82" t="s">
        <v>563</v>
      </c>
      <c r="D246" s="79" t="s">
        <v>214</v>
      </c>
      <c r="E246" s="79" t="s">
        <v>114</v>
      </c>
      <c r="F246" s="79" t="s">
        <v>215</v>
      </c>
      <c r="G246" s="82" t="s">
        <v>320</v>
      </c>
      <c r="H246" s="82" t="s">
        <v>301</v>
      </c>
      <c r="I246" s="82" t="s">
        <v>507</v>
      </c>
      <c r="J246" s="82" t="s">
        <v>955</v>
      </c>
      <c r="K246" s="82" t="s">
        <v>1083</v>
      </c>
    </row>
    <row r="247" spans="1:11" ht="15.75" x14ac:dyDescent="0.25">
      <c r="A247" s="87" t="s">
        <v>890</v>
      </c>
      <c r="B247" s="87" t="s">
        <v>1009</v>
      </c>
      <c r="C247" s="82" t="s">
        <v>566</v>
      </c>
      <c r="D247" s="79" t="s">
        <v>146</v>
      </c>
      <c r="E247" s="79" t="s">
        <v>114</v>
      </c>
      <c r="F247" s="79" t="s">
        <v>147</v>
      </c>
      <c r="G247" s="82" t="s">
        <v>320</v>
      </c>
      <c r="H247" s="82" t="s">
        <v>270</v>
      </c>
      <c r="I247" s="82" t="s">
        <v>468</v>
      </c>
      <c r="J247" s="82" t="s">
        <v>924</v>
      </c>
      <c r="K247" s="82" t="s">
        <v>1084</v>
      </c>
    </row>
    <row r="248" spans="1:11" ht="15.75" x14ac:dyDescent="0.25">
      <c r="A248" s="87" t="s">
        <v>890</v>
      </c>
      <c r="B248" s="87" t="s">
        <v>1009</v>
      </c>
      <c r="C248" s="82" t="s">
        <v>567</v>
      </c>
      <c r="D248" s="79" t="s">
        <v>198</v>
      </c>
      <c r="E248" s="79" t="s">
        <v>125</v>
      </c>
      <c r="F248" s="79" t="s">
        <v>199</v>
      </c>
      <c r="G248" s="82" t="s">
        <v>320</v>
      </c>
      <c r="H248" s="82" t="s">
        <v>293</v>
      </c>
      <c r="I248" s="82" t="s">
        <v>496</v>
      </c>
      <c r="J248" s="82" t="s">
        <v>945</v>
      </c>
      <c r="K248" s="82" t="s">
        <v>1085</v>
      </c>
    </row>
    <row r="249" spans="1:11" ht="15.75" x14ac:dyDescent="0.25">
      <c r="A249" s="87" t="s">
        <v>890</v>
      </c>
      <c r="B249" s="87" t="s">
        <v>1009</v>
      </c>
      <c r="C249" s="82" t="s">
        <v>568</v>
      </c>
      <c r="D249" s="79" t="s">
        <v>170</v>
      </c>
      <c r="E249" s="79" t="s">
        <v>144</v>
      </c>
      <c r="F249" s="79" t="s">
        <v>171</v>
      </c>
      <c r="G249" s="82" t="s">
        <v>320</v>
      </c>
      <c r="H249" s="82" t="s">
        <v>280</v>
      </c>
      <c r="I249" s="82" t="s">
        <v>483</v>
      </c>
      <c r="J249" s="82" t="s">
        <v>936</v>
      </c>
      <c r="K249" s="82" t="s">
        <v>1086</v>
      </c>
    </row>
    <row r="250" spans="1:11" ht="15.75" x14ac:dyDescent="0.25">
      <c r="A250" s="87" t="s">
        <v>890</v>
      </c>
      <c r="B250" s="87" t="s">
        <v>1009</v>
      </c>
      <c r="C250" s="82" t="s">
        <v>569</v>
      </c>
      <c r="D250" s="79" t="s">
        <v>246</v>
      </c>
      <c r="E250" s="79" t="s">
        <v>144</v>
      </c>
      <c r="F250" s="79" t="s">
        <v>247</v>
      </c>
      <c r="G250" s="82" t="s">
        <v>320</v>
      </c>
      <c r="H250" s="82" t="s">
        <v>317</v>
      </c>
      <c r="I250" s="82" t="s">
        <v>526</v>
      </c>
      <c r="J250" s="82" t="s">
        <v>966</v>
      </c>
      <c r="K250" s="82" t="s">
        <v>1087</v>
      </c>
    </row>
    <row r="251" spans="1:11" ht="15.75" x14ac:dyDescent="0.25">
      <c r="A251" s="87" t="s">
        <v>890</v>
      </c>
      <c r="B251" s="87" t="s">
        <v>1009</v>
      </c>
      <c r="C251" s="82" t="s">
        <v>953</v>
      </c>
      <c r="D251" s="79" t="s">
        <v>863</v>
      </c>
      <c r="E251" s="79" t="s">
        <v>114</v>
      </c>
      <c r="F251" s="79" t="s">
        <v>864</v>
      </c>
      <c r="G251" s="82" t="s">
        <v>320</v>
      </c>
      <c r="H251" s="82" t="s">
        <v>901</v>
      </c>
      <c r="I251" s="82" t="s">
        <v>902</v>
      </c>
      <c r="J251" s="82" t="s">
        <v>954</v>
      </c>
      <c r="K251" s="82" t="s">
        <v>1088</v>
      </c>
    </row>
    <row r="252" spans="1:11" ht="15.75" x14ac:dyDescent="0.25">
      <c r="A252" s="87" t="s">
        <v>890</v>
      </c>
      <c r="B252" s="87" t="s">
        <v>1009</v>
      </c>
      <c r="C252" s="82" t="s">
        <v>59</v>
      </c>
      <c r="D252" s="79" t="s">
        <v>134</v>
      </c>
      <c r="E252" s="79" t="s">
        <v>125</v>
      </c>
      <c r="F252" s="79" t="s">
        <v>135</v>
      </c>
      <c r="G252" s="82" t="s">
        <v>320</v>
      </c>
      <c r="H252" s="82" t="s">
        <v>265</v>
      </c>
      <c r="I252" s="82" t="s">
        <v>462</v>
      </c>
      <c r="J252" s="82" t="s">
        <v>921</v>
      </c>
      <c r="K252" s="82" t="s">
        <v>1089</v>
      </c>
    </row>
    <row r="253" spans="1:11" ht="15.75" x14ac:dyDescent="0.25">
      <c r="A253" s="87" t="s">
        <v>890</v>
      </c>
      <c r="B253" s="87" t="s">
        <v>1009</v>
      </c>
      <c r="C253" s="82" t="s">
        <v>571</v>
      </c>
      <c r="D253" s="79" t="s">
        <v>356</v>
      </c>
      <c r="E253" s="79" t="s">
        <v>125</v>
      </c>
      <c r="F253" s="79" t="s">
        <v>357</v>
      </c>
      <c r="G253" s="82" t="s">
        <v>320</v>
      </c>
      <c r="H253" s="82" t="s">
        <v>442</v>
      </c>
      <c r="I253" s="82" t="s">
        <v>475</v>
      </c>
      <c r="J253" s="82" t="s">
        <v>928</v>
      </c>
      <c r="K253" s="82" t="s">
        <v>1090</v>
      </c>
    </row>
    <row r="254" spans="1:11" ht="15.75" x14ac:dyDescent="0.25">
      <c r="A254" s="87" t="s">
        <v>890</v>
      </c>
      <c r="B254" s="87" t="s">
        <v>1009</v>
      </c>
      <c r="C254" s="82" t="s">
        <v>572</v>
      </c>
      <c r="D254" s="79" t="s">
        <v>191</v>
      </c>
      <c r="E254" s="79" t="s">
        <v>125</v>
      </c>
      <c r="F254" s="79" t="s">
        <v>192</v>
      </c>
      <c r="G254" s="82" t="s">
        <v>320</v>
      </c>
      <c r="H254" s="82" t="s">
        <v>290</v>
      </c>
      <c r="I254" s="82" t="s">
        <v>493</v>
      </c>
      <c r="J254" s="82" t="s">
        <v>944</v>
      </c>
      <c r="K254" s="82" t="s">
        <v>1091</v>
      </c>
    </row>
    <row r="255" spans="1:11" ht="15.75" x14ac:dyDescent="0.25">
      <c r="A255" s="87" t="s">
        <v>890</v>
      </c>
      <c r="B255" s="87" t="s">
        <v>1009</v>
      </c>
      <c r="C255" s="82" t="s">
        <v>574</v>
      </c>
      <c r="D255" s="79" t="s">
        <v>397</v>
      </c>
      <c r="E255" s="79" t="s">
        <v>398</v>
      </c>
      <c r="F255" s="79" t="s">
        <v>399</v>
      </c>
      <c r="G255" s="82" t="s">
        <v>320</v>
      </c>
      <c r="H255" s="82" t="s">
        <v>448</v>
      </c>
      <c r="I255" s="82" t="s">
        <v>500</v>
      </c>
      <c r="J255" s="82" t="s">
        <v>949</v>
      </c>
      <c r="K255" s="82" t="s">
        <v>1092</v>
      </c>
    </row>
    <row r="256" spans="1:11" ht="15.75" x14ac:dyDescent="0.25">
      <c r="A256" s="87" t="s">
        <v>890</v>
      </c>
      <c r="B256" s="87" t="s">
        <v>1009</v>
      </c>
      <c r="C256" s="82" t="s">
        <v>575</v>
      </c>
      <c r="D256" s="79" t="s">
        <v>220</v>
      </c>
      <c r="E256" s="79" t="s">
        <v>114</v>
      </c>
      <c r="F256" s="79" t="s">
        <v>221</v>
      </c>
      <c r="G256" s="82" t="s">
        <v>320</v>
      </c>
      <c r="H256" s="82" t="s">
        <v>304</v>
      </c>
      <c r="I256" s="82" t="s">
        <v>510</v>
      </c>
      <c r="J256" s="82" t="s">
        <v>958</v>
      </c>
      <c r="K256" s="82" t="s">
        <v>1093</v>
      </c>
    </row>
    <row r="257" spans="1:11" ht="15.75" x14ac:dyDescent="0.25">
      <c r="A257" s="87" t="s">
        <v>890</v>
      </c>
      <c r="B257" s="87" t="s">
        <v>1009</v>
      </c>
      <c r="C257" s="82" t="s">
        <v>88</v>
      </c>
      <c r="D257" s="79" t="s">
        <v>152</v>
      </c>
      <c r="E257" s="79" t="s">
        <v>114</v>
      </c>
      <c r="F257" s="79" t="s">
        <v>153</v>
      </c>
      <c r="G257" s="82" t="s">
        <v>320</v>
      </c>
      <c r="H257" s="82" t="s">
        <v>273</v>
      </c>
      <c r="I257" s="82" t="s">
        <v>472</v>
      </c>
      <c r="J257" s="82" t="s">
        <v>927</v>
      </c>
      <c r="K257" s="82" t="s">
        <v>1094</v>
      </c>
    </row>
    <row r="258" spans="1:11" ht="15.75" x14ac:dyDescent="0.25">
      <c r="A258" s="87" t="s">
        <v>890</v>
      </c>
      <c r="B258" s="87" t="s">
        <v>1009</v>
      </c>
      <c r="C258" s="82" t="s">
        <v>579</v>
      </c>
      <c r="D258" s="79" t="s">
        <v>208</v>
      </c>
      <c r="E258" s="79" t="s">
        <v>114</v>
      </c>
      <c r="F258" s="79" t="s">
        <v>209</v>
      </c>
      <c r="G258" s="82" t="s">
        <v>320</v>
      </c>
      <c r="H258" s="82" t="s">
        <v>298</v>
      </c>
      <c r="I258" s="82" t="s">
        <v>503</v>
      </c>
      <c r="J258" s="82" t="s">
        <v>951</v>
      </c>
      <c r="K258" s="82" t="s">
        <v>1095</v>
      </c>
    </row>
    <row r="259" spans="1:11" ht="15.75" x14ac:dyDescent="0.25">
      <c r="A259" s="87" t="s">
        <v>890</v>
      </c>
      <c r="B259" s="87" t="s">
        <v>1009</v>
      </c>
      <c r="C259" s="82" t="s">
        <v>582</v>
      </c>
      <c r="D259" s="79" t="s">
        <v>222</v>
      </c>
      <c r="E259" s="79" t="s">
        <v>114</v>
      </c>
      <c r="F259" s="79" t="s">
        <v>223</v>
      </c>
      <c r="G259" s="82" t="s">
        <v>320</v>
      </c>
      <c r="H259" s="82" t="s">
        <v>305</v>
      </c>
      <c r="I259" s="82" t="s">
        <v>511</v>
      </c>
      <c r="J259" s="82" t="s">
        <v>959</v>
      </c>
      <c r="K259" s="82" t="s">
        <v>1096</v>
      </c>
    </row>
    <row r="260" spans="1:11" ht="15.75" x14ac:dyDescent="0.25">
      <c r="A260" s="87" t="s">
        <v>890</v>
      </c>
      <c r="B260" s="87" t="s">
        <v>1009</v>
      </c>
      <c r="C260" s="82" t="s">
        <v>583</v>
      </c>
      <c r="D260" s="79" t="s">
        <v>122</v>
      </c>
      <c r="E260" s="79" t="s">
        <v>114</v>
      </c>
      <c r="F260" s="79" t="s">
        <v>123</v>
      </c>
      <c r="G260" s="82" t="s">
        <v>320</v>
      </c>
      <c r="H260" s="82" t="s">
        <v>260</v>
      </c>
      <c r="I260" s="82" t="s">
        <v>456</v>
      </c>
      <c r="J260" s="82" t="s">
        <v>914</v>
      </c>
      <c r="K260" s="82" t="s">
        <v>1097</v>
      </c>
    </row>
    <row r="261" spans="1:11" ht="15.75" x14ac:dyDescent="0.25">
      <c r="A261" s="87" t="s">
        <v>890</v>
      </c>
      <c r="B261" s="87" t="s">
        <v>1009</v>
      </c>
      <c r="C261" s="82" t="s">
        <v>915</v>
      </c>
      <c r="D261" s="79" t="s">
        <v>851</v>
      </c>
      <c r="E261" s="79" t="s">
        <v>114</v>
      </c>
      <c r="F261" s="79" t="s">
        <v>852</v>
      </c>
      <c r="G261" s="82" t="s">
        <v>320</v>
      </c>
      <c r="H261" s="82" t="s">
        <v>894</v>
      </c>
      <c r="I261" s="82" t="s">
        <v>895</v>
      </c>
      <c r="J261" s="82" t="s">
        <v>916</v>
      </c>
      <c r="K261" s="82" t="s">
        <v>1098</v>
      </c>
    </row>
    <row r="262" spans="1:11" ht="15.75" x14ac:dyDescent="0.25">
      <c r="A262" s="87" t="s">
        <v>890</v>
      </c>
      <c r="B262" s="87" t="s">
        <v>1009</v>
      </c>
      <c r="C262" s="82" t="s">
        <v>584</v>
      </c>
      <c r="D262" s="79" t="s">
        <v>364</v>
      </c>
      <c r="E262" s="79" t="s">
        <v>144</v>
      </c>
      <c r="F262" s="79" t="s">
        <v>365</v>
      </c>
      <c r="G262" s="82" t="s">
        <v>320</v>
      </c>
      <c r="H262" s="82" t="s">
        <v>444</v>
      </c>
      <c r="I262" s="82" t="s">
        <v>479</v>
      </c>
      <c r="J262" s="82" t="s">
        <v>932</v>
      </c>
      <c r="K262" s="82" t="s">
        <v>1099</v>
      </c>
    </row>
    <row r="263" spans="1:11" ht="15.75" x14ac:dyDescent="0.25">
      <c r="A263" s="87" t="s">
        <v>890</v>
      </c>
      <c r="B263" s="87" t="s">
        <v>1009</v>
      </c>
      <c r="C263" s="82" t="s">
        <v>586</v>
      </c>
      <c r="D263" s="79" t="s">
        <v>174</v>
      </c>
      <c r="E263" s="79" t="s">
        <v>114</v>
      </c>
      <c r="F263" s="79" t="s">
        <v>175</v>
      </c>
      <c r="G263" s="82" t="s">
        <v>320</v>
      </c>
      <c r="H263" s="82" t="s">
        <v>282</v>
      </c>
      <c r="I263" s="82" t="s">
        <v>485</v>
      </c>
      <c r="J263" s="82" t="s">
        <v>938</v>
      </c>
      <c r="K263" s="82" t="s">
        <v>1100</v>
      </c>
    </row>
    <row r="264" spans="1:11" ht="15.75" x14ac:dyDescent="0.25">
      <c r="A264" s="87" t="s">
        <v>890</v>
      </c>
      <c r="B264" s="87" t="s">
        <v>1009</v>
      </c>
      <c r="C264" s="82" t="s">
        <v>587</v>
      </c>
      <c r="D264" s="79" t="s">
        <v>138</v>
      </c>
      <c r="E264" s="79" t="s">
        <v>114</v>
      </c>
      <c r="F264" s="79" t="s">
        <v>139</v>
      </c>
      <c r="G264" s="82" t="s">
        <v>320</v>
      </c>
      <c r="H264" s="82" t="s">
        <v>267</v>
      </c>
      <c r="I264" s="82" t="s">
        <v>464</v>
      </c>
      <c r="J264" s="82" t="s">
        <v>922</v>
      </c>
      <c r="K264" s="82" t="s">
        <v>1101</v>
      </c>
    </row>
    <row r="265" spans="1:11" ht="15.75" x14ac:dyDescent="0.25">
      <c r="A265" s="87" t="s">
        <v>890</v>
      </c>
      <c r="B265" s="87" t="s">
        <v>1009</v>
      </c>
      <c r="C265" s="82" t="s">
        <v>588</v>
      </c>
      <c r="D265" s="79" t="s">
        <v>232</v>
      </c>
      <c r="E265" s="79" t="s">
        <v>125</v>
      </c>
      <c r="F265" s="79" t="s">
        <v>233</v>
      </c>
      <c r="G265" s="82" t="s">
        <v>320</v>
      </c>
      <c r="H265" s="82" t="s">
        <v>310</v>
      </c>
      <c r="I265" s="82" t="s">
        <v>518</v>
      </c>
      <c r="J265" s="82" t="s">
        <v>962</v>
      </c>
      <c r="K265" s="82" t="s">
        <v>1102</v>
      </c>
    </row>
    <row r="266" spans="1:11" ht="15.75" x14ac:dyDescent="0.25">
      <c r="A266" s="87" t="s">
        <v>890</v>
      </c>
      <c r="B266" s="87" t="s">
        <v>1009</v>
      </c>
      <c r="C266" s="82" t="s">
        <v>589</v>
      </c>
      <c r="D266" s="79" t="s">
        <v>172</v>
      </c>
      <c r="E266" s="79" t="s">
        <v>125</v>
      </c>
      <c r="F266" s="79" t="s">
        <v>173</v>
      </c>
      <c r="G266" s="82" t="s">
        <v>320</v>
      </c>
      <c r="H266" s="82" t="s">
        <v>281</v>
      </c>
      <c r="I266" s="82" t="s">
        <v>484</v>
      </c>
      <c r="J266" s="82" t="s">
        <v>937</v>
      </c>
      <c r="K266" s="82" t="s">
        <v>1103</v>
      </c>
    </row>
    <row r="267" spans="1:11" ht="15.75" x14ac:dyDescent="0.25">
      <c r="A267" s="87" t="s">
        <v>890</v>
      </c>
      <c r="B267" s="87" t="s">
        <v>1009</v>
      </c>
      <c r="C267" s="82" t="s">
        <v>590</v>
      </c>
      <c r="D267" s="79" t="s">
        <v>202</v>
      </c>
      <c r="E267" s="79" t="s">
        <v>114</v>
      </c>
      <c r="F267" s="79" t="s">
        <v>203</v>
      </c>
      <c r="G267" s="82" t="s">
        <v>320</v>
      </c>
      <c r="H267" s="82" t="s">
        <v>295</v>
      </c>
      <c r="I267" s="82" t="s">
        <v>499</v>
      </c>
      <c r="J267" s="82" t="s">
        <v>948</v>
      </c>
      <c r="K267" s="82" t="s">
        <v>1104</v>
      </c>
    </row>
    <row r="268" spans="1:11" ht="15.75" x14ac:dyDescent="0.25">
      <c r="A268" s="87" t="s">
        <v>890</v>
      </c>
      <c r="B268" s="87" t="s">
        <v>1009</v>
      </c>
      <c r="C268" s="82" t="s">
        <v>69</v>
      </c>
      <c r="D268" s="79" t="s">
        <v>124</v>
      </c>
      <c r="E268" s="79" t="s">
        <v>125</v>
      </c>
      <c r="F268" s="79" t="s">
        <v>126</v>
      </c>
      <c r="G268" s="82" t="s">
        <v>320</v>
      </c>
      <c r="H268" s="82" t="s">
        <v>261</v>
      </c>
      <c r="I268" s="82" t="s">
        <v>457</v>
      </c>
      <c r="J268" s="82" t="s">
        <v>917</v>
      </c>
      <c r="K268" s="82" t="s">
        <v>1105</v>
      </c>
    </row>
    <row r="269" spans="1:11" ht="15.75" x14ac:dyDescent="0.25">
      <c r="A269" s="87" t="s">
        <v>890</v>
      </c>
      <c r="B269" s="87" t="s">
        <v>1009</v>
      </c>
      <c r="C269" s="82" t="s">
        <v>64</v>
      </c>
      <c r="D269" s="79" t="s">
        <v>242</v>
      </c>
      <c r="E269" s="79" t="s">
        <v>125</v>
      </c>
      <c r="F269" s="79" t="s">
        <v>243</v>
      </c>
      <c r="G269" s="82" t="s">
        <v>320</v>
      </c>
      <c r="H269" s="82" t="s">
        <v>315</v>
      </c>
      <c r="I269" s="82" t="s">
        <v>523</v>
      </c>
      <c r="J269" s="82" t="s">
        <v>964</v>
      </c>
      <c r="K269" s="82" t="s">
        <v>1106</v>
      </c>
    </row>
    <row r="270" spans="1:11" ht="15.75" x14ac:dyDescent="0.25">
      <c r="A270" s="87" t="s">
        <v>890</v>
      </c>
      <c r="B270" s="87" t="s">
        <v>1009</v>
      </c>
      <c r="C270" s="82" t="s">
        <v>592</v>
      </c>
      <c r="D270" s="79" t="s">
        <v>206</v>
      </c>
      <c r="E270" s="79" t="s">
        <v>165</v>
      </c>
      <c r="F270" s="79" t="s">
        <v>207</v>
      </c>
      <c r="G270" s="82" t="s">
        <v>320</v>
      </c>
      <c r="H270" s="82" t="s">
        <v>297</v>
      </c>
      <c r="I270" s="82" t="s">
        <v>502</v>
      </c>
      <c r="J270" s="82" t="s">
        <v>950</v>
      </c>
      <c r="K270" s="82" t="s">
        <v>1107</v>
      </c>
    </row>
    <row r="271" spans="1:11" ht="15.75" x14ac:dyDescent="0.25">
      <c r="A271" s="87" t="s">
        <v>890</v>
      </c>
      <c r="B271" s="87" t="s">
        <v>1009</v>
      </c>
      <c r="C271" s="82" t="s">
        <v>41</v>
      </c>
      <c r="D271" s="79" t="s">
        <v>150</v>
      </c>
      <c r="E271" s="79" t="s">
        <v>114</v>
      </c>
      <c r="F271" s="79" t="s">
        <v>151</v>
      </c>
      <c r="G271" s="82" t="s">
        <v>320</v>
      </c>
      <c r="H271" s="82" t="s">
        <v>272</v>
      </c>
      <c r="I271" s="82" t="s">
        <v>470</v>
      </c>
      <c r="J271" s="82" t="s">
        <v>926</v>
      </c>
      <c r="K271" s="82" t="s">
        <v>1108</v>
      </c>
    </row>
    <row r="272" spans="1:11" ht="15.75" x14ac:dyDescent="0.25">
      <c r="A272" s="87" t="s">
        <v>890</v>
      </c>
      <c r="B272" s="87" t="s">
        <v>1009</v>
      </c>
      <c r="C272" s="82" t="s">
        <v>593</v>
      </c>
      <c r="D272" s="79" t="s">
        <v>180</v>
      </c>
      <c r="E272" s="79" t="s">
        <v>114</v>
      </c>
      <c r="F272" s="79" t="s">
        <v>181</v>
      </c>
      <c r="G272" s="82" t="s">
        <v>320</v>
      </c>
      <c r="H272" s="82" t="s">
        <v>285</v>
      </c>
      <c r="I272" s="82" t="s">
        <v>488</v>
      </c>
      <c r="J272" s="82" t="s">
        <v>941</v>
      </c>
      <c r="K272" s="82" t="s">
        <v>1109</v>
      </c>
    </row>
    <row r="273" spans="1:11" ht="15.75" x14ac:dyDescent="0.25">
      <c r="A273" s="87" t="s">
        <v>890</v>
      </c>
      <c r="B273" s="87" t="s">
        <v>1009</v>
      </c>
      <c r="C273" s="82" t="s">
        <v>946</v>
      </c>
      <c r="D273" s="79" t="s">
        <v>860</v>
      </c>
      <c r="E273" s="79" t="s">
        <v>144</v>
      </c>
      <c r="F273" s="79" t="s">
        <v>861</v>
      </c>
      <c r="G273" s="82" t="s">
        <v>320</v>
      </c>
      <c r="H273" s="82" t="s">
        <v>899</v>
      </c>
      <c r="I273" s="82" t="s">
        <v>900</v>
      </c>
      <c r="J273" s="82" t="s">
        <v>947</v>
      </c>
      <c r="K273" s="82" t="s">
        <v>1110</v>
      </c>
    </row>
    <row r="274" spans="1:11" ht="15.75" x14ac:dyDescent="0.25">
      <c r="A274" s="87" t="s">
        <v>890</v>
      </c>
      <c r="B274" s="87" t="s">
        <v>1009</v>
      </c>
      <c r="C274" s="82" t="s">
        <v>29</v>
      </c>
      <c r="D274" s="79" t="s">
        <v>230</v>
      </c>
      <c r="E274" s="79" t="s">
        <v>114</v>
      </c>
      <c r="F274" s="79" t="s">
        <v>231</v>
      </c>
      <c r="G274" s="82" t="s">
        <v>320</v>
      </c>
      <c r="H274" s="82" t="s">
        <v>309</v>
      </c>
      <c r="I274" s="82" t="s">
        <v>517</v>
      </c>
      <c r="J274" s="82" t="s">
        <v>961</v>
      </c>
      <c r="K274" s="82" t="s">
        <v>1111</v>
      </c>
    </row>
    <row r="275" spans="1:11" ht="15.75" x14ac:dyDescent="0.25">
      <c r="A275" s="87" t="s">
        <v>890</v>
      </c>
      <c r="B275" s="87" t="s">
        <v>1009</v>
      </c>
      <c r="C275" s="82" t="s">
        <v>595</v>
      </c>
      <c r="D275" s="79" t="s">
        <v>360</v>
      </c>
      <c r="E275" s="79" t="s">
        <v>165</v>
      </c>
      <c r="F275" s="79" t="s">
        <v>361</v>
      </c>
      <c r="G275" s="82" t="s">
        <v>320</v>
      </c>
      <c r="H275" s="82" t="s">
        <v>443</v>
      </c>
      <c r="I275" s="82" t="s">
        <v>477</v>
      </c>
      <c r="J275" s="82" t="s">
        <v>930</v>
      </c>
      <c r="K275" s="82" t="s">
        <v>1112</v>
      </c>
    </row>
    <row r="276" spans="1:11" ht="15.75" x14ac:dyDescent="0.25">
      <c r="A276" s="87" t="s">
        <v>890</v>
      </c>
      <c r="B276" s="87" t="s">
        <v>1009</v>
      </c>
      <c r="C276" s="82" t="s">
        <v>596</v>
      </c>
      <c r="D276" s="79" t="s">
        <v>212</v>
      </c>
      <c r="E276" s="79" t="s">
        <v>114</v>
      </c>
      <c r="F276" s="79" t="s">
        <v>213</v>
      </c>
      <c r="G276" s="82" t="s">
        <v>320</v>
      </c>
      <c r="H276" s="82" t="s">
        <v>300</v>
      </c>
      <c r="I276" s="82" t="s">
        <v>505</v>
      </c>
      <c r="J276" s="82" t="s">
        <v>952</v>
      </c>
      <c r="K276" s="82" t="s">
        <v>1113</v>
      </c>
    </row>
    <row r="277" spans="1:11" ht="15.75" x14ac:dyDescent="0.25">
      <c r="A277" s="87" t="s">
        <v>890</v>
      </c>
      <c r="B277" s="87" t="s">
        <v>1009</v>
      </c>
      <c r="C277" s="82" t="s">
        <v>597</v>
      </c>
      <c r="D277" s="79" t="s">
        <v>432</v>
      </c>
      <c r="E277" s="79" t="s">
        <v>165</v>
      </c>
      <c r="F277" s="79" t="s">
        <v>433</v>
      </c>
      <c r="G277" s="82" t="s">
        <v>320</v>
      </c>
      <c r="H277" s="82" t="s">
        <v>452</v>
      </c>
      <c r="I277" s="82" t="s">
        <v>524</v>
      </c>
      <c r="J277" s="82" t="s">
        <v>965</v>
      </c>
      <c r="K277" s="82" t="s">
        <v>1114</v>
      </c>
    </row>
    <row r="278" spans="1:11" ht="15.75" x14ac:dyDescent="0.25">
      <c r="A278" s="87" t="s">
        <v>890</v>
      </c>
      <c r="B278" s="87" t="s">
        <v>1009</v>
      </c>
      <c r="C278" s="82" t="s">
        <v>598</v>
      </c>
      <c r="D278" s="79" t="s">
        <v>336</v>
      </c>
      <c r="E278" s="79" t="s">
        <v>114</v>
      </c>
      <c r="F278" s="79" t="s">
        <v>337</v>
      </c>
      <c r="G278" s="82" t="s">
        <v>320</v>
      </c>
      <c r="H278" s="82" t="s">
        <v>439</v>
      </c>
      <c r="I278" s="82" t="s">
        <v>461</v>
      </c>
      <c r="J278" s="82" t="s">
        <v>920</v>
      </c>
      <c r="K278" s="82" t="s">
        <v>1115</v>
      </c>
    </row>
    <row r="279" spans="1:11" ht="15.75" x14ac:dyDescent="0.25">
      <c r="A279" s="87" t="s">
        <v>890</v>
      </c>
      <c r="B279" s="87" t="s">
        <v>1009</v>
      </c>
      <c r="C279" s="82" t="s">
        <v>76</v>
      </c>
      <c r="D279" s="79" t="s">
        <v>178</v>
      </c>
      <c r="E279" s="79" t="s">
        <v>125</v>
      </c>
      <c r="F279" s="79" t="s">
        <v>179</v>
      </c>
      <c r="G279" s="82" t="s">
        <v>320</v>
      </c>
      <c r="H279" s="82" t="s">
        <v>284</v>
      </c>
      <c r="I279" s="82" t="s">
        <v>487</v>
      </c>
      <c r="J279" s="82" t="s">
        <v>940</v>
      </c>
      <c r="K279" s="82" t="s">
        <v>1116</v>
      </c>
    </row>
    <row r="280" spans="1:11" ht="15.75" x14ac:dyDescent="0.25">
      <c r="A280" s="87" t="s">
        <v>890</v>
      </c>
      <c r="B280" s="87" t="s">
        <v>1009</v>
      </c>
      <c r="C280" s="82" t="s">
        <v>62</v>
      </c>
      <c r="D280" s="79" t="s">
        <v>143</v>
      </c>
      <c r="E280" s="79" t="s">
        <v>144</v>
      </c>
      <c r="F280" s="79" t="s">
        <v>145</v>
      </c>
      <c r="G280" s="82" t="s">
        <v>320</v>
      </c>
      <c r="H280" s="82" t="s">
        <v>269</v>
      </c>
      <c r="I280" s="82" t="s">
        <v>467</v>
      </c>
      <c r="J280" s="82" t="s">
        <v>923</v>
      </c>
      <c r="K280" s="82" t="s">
        <v>1117</v>
      </c>
    </row>
    <row r="281" spans="1:11" ht="15.75" x14ac:dyDescent="0.25">
      <c r="A281" s="87" t="s">
        <v>890</v>
      </c>
      <c r="B281" s="87" t="s">
        <v>1009</v>
      </c>
      <c r="C281" s="82" t="s">
        <v>956</v>
      </c>
      <c r="D281" s="79" t="s">
        <v>866</v>
      </c>
      <c r="E281" s="79" t="s">
        <v>125</v>
      </c>
      <c r="F281" s="79" t="s">
        <v>217</v>
      </c>
      <c r="G281" s="82" t="s">
        <v>320</v>
      </c>
      <c r="H281" s="82" t="s">
        <v>302</v>
      </c>
      <c r="I281" s="82" t="s">
        <v>903</v>
      </c>
      <c r="J281" s="82" t="s">
        <v>957</v>
      </c>
      <c r="K281" s="82" t="s">
        <v>1118</v>
      </c>
    </row>
    <row r="282" spans="1:11" ht="15.75" x14ac:dyDescent="0.25">
      <c r="A282" s="87" t="s">
        <v>890</v>
      </c>
      <c r="B282" s="87" t="s">
        <v>1009</v>
      </c>
      <c r="C282" s="82" t="s">
        <v>601</v>
      </c>
      <c r="D282" s="79" t="s">
        <v>162</v>
      </c>
      <c r="E282" s="79" t="s">
        <v>114</v>
      </c>
      <c r="F282" s="79" t="s">
        <v>163</v>
      </c>
      <c r="G282" s="82" t="s">
        <v>320</v>
      </c>
      <c r="H282" s="82" t="s">
        <v>277</v>
      </c>
      <c r="I282" s="82" t="s">
        <v>478</v>
      </c>
      <c r="J282" s="82" t="s">
        <v>931</v>
      </c>
      <c r="K282" s="82" t="s">
        <v>1119</v>
      </c>
    </row>
    <row r="283" spans="1:11" ht="15.75" x14ac:dyDescent="0.25">
      <c r="A283" s="87" t="s">
        <v>890</v>
      </c>
      <c r="B283" s="87" t="s">
        <v>1009</v>
      </c>
      <c r="C283" s="82" t="s">
        <v>602</v>
      </c>
      <c r="D283" s="79" t="s">
        <v>176</v>
      </c>
      <c r="E283" s="79" t="s">
        <v>114</v>
      </c>
      <c r="F283" s="79" t="s">
        <v>177</v>
      </c>
      <c r="G283" s="82" t="s">
        <v>320</v>
      </c>
      <c r="H283" s="82" t="s">
        <v>283</v>
      </c>
      <c r="I283" s="82" t="s">
        <v>486</v>
      </c>
      <c r="J283" s="82" t="s">
        <v>939</v>
      </c>
      <c r="K283" s="82" t="s">
        <v>1120</v>
      </c>
    </row>
    <row r="284" spans="1:11" ht="15.75" x14ac:dyDescent="0.25">
      <c r="A284" s="87" t="s">
        <v>890</v>
      </c>
      <c r="B284" s="87" t="s">
        <v>1009</v>
      </c>
      <c r="C284" s="82" t="s">
        <v>38</v>
      </c>
      <c r="D284" s="79" t="s">
        <v>113</v>
      </c>
      <c r="E284" s="79" t="s">
        <v>114</v>
      </c>
      <c r="F284" s="79" t="s">
        <v>116</v>
      </c>
      <c r="G284" s="82" t="s">
        <v>320</v>
      </c>
      <c r="H284" s="82" t="s">
        <v>257</v>
      </c>
      <c r="I284" s="82" t="s">
        <v>453</v>
      </c>
      <c r="J284" s="82" t="s">
        <v>912</v>
      </c>
      <c r="K284" s="82" t="s">
        <v>1121</v>
      </c>
    </row>
    <row r="285" spans="1:11" ht="15.75" x14ac:dyDescent="0.25">
      <c r="A285" s="87" t="s">
        <v>890</v>
      </c>
      <c r="B285" s="87" t="s">
        <v>1009</v>
      </c>
      <c r="C285" s="82" t="s">
        <v>604</v>
      </c>
      <c r="D285" s="79" t="s">
        <v>148</v>
      </c>
      <c r="E285" s="79" t="s">
        <v>144</v>
      </c>
      <c r="F285" s="79" t="s">
        <v>149</v>
      </c>
      <c r="G285" s="82" t="s">
        <v>320</v>
      </c>
      <c r="H285" s="82" t="s">
        <v>271</v>
      </c>
      <c r="I285" s="82" t="s">
        <v>469</v>
      </c>
      <c r="J285" s="82" t="s">
        <v>925</v>
      </c>
      <c r="K285" s="82" t="s">
        <v>1122</v>
      </c>
    </row>
    <row r="286" spans="1:11" ht="15.75" x14ac:dyDescent="0.25">
      <c r="A286" s="87" t="s">
        <v>890</v>
      </c>
      <c r="B286" s="87" t="s">
        <v>1009</v>
      </c>
      <c r="C286" s="82" t="s">
        <v>605</v>
      </c>
      <c r="D286" s="79" t="s">
        <v>132</v>
      </c>
      <c r="E286" s="79" t="s">
        <v>114</v>
      </c>
      <c r="F286" s="79" t="s">
        <v>133</v>
      </c>
      <c r="G286" s="82" t="s">
        <v>320</v>
      </c>
      <c r="H286" s="82" t="s">
        <v>264</v>
      </c>
      <c r="I286" s="82" t="s">
        <v>460</v>
      </c>
      <c r="J286" s="82" t="s">
        <v>919</v>
      </c>
      <c r="K286" s="82" t="s">
        <v>1123</v>
      </c>
    </row>
    <row r="287" spans="1:11" ht="15.75" x14ac:dyDescent="0.25">
      <c r="A287" s="87" t="s">
        <v>890</v>
      </c>
      <c r="B287" s="87" t="s">
        <v>1009</v>
      </c>
      <c r="C287" s="108" t="s">
        <v>550</v>
      </c>
      <c r="D287" s="107" t="s">
        <v>127</v>
      </c>
      <c r="E287" s="107" t="s">
        <v>128</v>
      </c>
      <c r="F287" s="107" t="s">
        <v>129</v>
      </c>
      <c r="G287" s="108" t="s">
        <v>321</v>
      </c>
      <c r="H287" s="108" t="s">
        <v>262</v>
      </c>
      <c r="I287" s="108" t="s">
        <v>458</v>
      </c>
      <c r="J287" s="108" t="s">
        <v>1021</v>
      </c>
      <c r="K287" s="108" t="s">
        <v>1140</v>
      </c>
    </row>
    <row r="288" spans="1:11" ht="15.75" x14ac:dyDescent="0.25">
      <c r="A288" s="87" t="s">
        <v>890</v>
      </c>
      <c r="B288" s="87" t="s">
        <v>1009</v>
      </c>
      <c r="C288" s="108" t="s">
        <v>551</v>
      </c>
      <c r="D288" s="107" t="s">
        <v>226</v>
      </c>
      <c r="E288" s="107" t="s">
        <v>161</v>
      </c>
      <c r="F288" s="107" t="s">
        <v>227</v>
      </c>
      <c r="G288" s="108" t="s">
        <v>321</v>
      </c>
      <c r="H288" s="108" t="s">
        <v>307</v>
      </c>
      <c r="I288" s="108" t="s">
        <v>514</v>
      </c>
      <c r="J288" s="108" t="s">
        <v>1028</v>
      </c>
      <c r="K288" s="108" t="s">
        <v>1141</v>
      </c>
    </row>
    <row r="289" spans="1:11" ht="15.75" x14ac:dyDescent="0.25">
      <c r="A289" s="87" t="s">
        <v>890</v>
      </c>
      <c r="B289" s="87" t="s">
        <v>1009</v>
      </c>
      <c r="C289" s="108" t="s">
        <v>556</v>
      </c>
      <c r="D289" s="107" t="s">
        <v>193</v>
      </c>
      <c r="E289" s="107" t="s">
        <v>383</v>
      </c>
      <c r="F289" s="107" t="s">
        <v>195</v>
      </c>
      <c r="G289" s="108" t="s">
        <v>321</v>
      </c>
      <c r="H289" s="108" t="s">
        <v>291</v>
      </c>
      <c r="I289" s="108" t="s">
        <v>494</v>
      </c>
      <c r="J289" s="108" t="s">
        <v>1025</v>
      </c>
      <c r="K289" s="108" t="s">
        <v>1142</v>
      </c>
    </row>
    <row r="290" spans="1:11" ht="15.75" x14ac:dyDescent="0.25">
      <c r="A290" s="87" t="s">
        <v>890</v>
      </c>
      <c r="B290" s="87" t="s">
        <v>1009</v>
      </c>
      <c r="C290" s="108" t="s">
        <v>53</v>
      </c>
      <c r="D290" s="107" t="s">
        <v>250</v>
      </c>
      <c r="E290" s="107" t="s">
        <v>251</v>
      </c>
      <c r="F290" s="107" t="s">
        <v>252</v>
      </c>
      <c r="G290" s="108" t="s">
        <v>321</v>
      </c>
      <c r="H290" s="108" t="s">
        <v>319</v>
      </c>
      <c r="I290" s="108" t="s">
        <v>528</v>
      </c>
      <c r="J290" s="108" t="s">
        <v>1032</v>
      </c>
      <c r="K290" s="108" t="s">
        <v>1143</v>
      </c>
    </row>
    <row r="291" spans="1:11" ht="15.75" x14ac:dyDescent="0.25">
      <c r="A291" s="87" t="s">
        <v>890</v>
      </c>
      <c r="B291" s="87" t="s">
        <v>1009</v>
      </c>
      <c r="C291" s="108" t="s">
        <v>564</v>
      </c>
      <c r="D291" s="107" t="s">
        <v>858</v>
      </c>
      <c r="E291" s="107" t="s">
        <v>185</v>
      </c>
      <c r="F291" s="107" t="s">
        <v>186</v>
      </c>
      <c r="G291" s="108" t="s">
        <v>321</v>
      </c>
      <c r="H291" s="108" t="s">
        <v>287</v>
      </c>
      <c r="I291" s="108" t="s">
        <v>490</v>
      </c>
      <c r="J291" s="108" t="s">
        <v>1024</v>
      </c>
      <c r="K291" s="108" t="s">
        <v>1144</v>
      </c>
    </row>
    <row r="292" spans="1:11" ht="15.75" x14ac:dyDescent="0.25">
      <c r="A292" s="87" t="s">
        <v>890</v>
      </c>
      <c r="B292" s="87" t="s">
        <v>1009</v>
      </c>
      <c r="C292" s="108" t="s">
        <v>960</v>
      </c>
      <c r="D292" s="107" t="s">
        <v>867</v>
      </c>
      <c r="E292" s="107" t="s">
        <v>161</v>
      </c>
      <c r="F292" s="107" t="s">
        <v>868</v>
      </c>
      <c r="G292" s="108" t="s">
        <v>321</v>
      </c>
      <c r="H292" s="108" t="s">
        <v>904</v>
      </c>
      <c r="I292" s="108" t="s">
        <v>905</v>
      </c>
      <c r="J292" s="108" t="s">
        <v>1027</v>
      </c>
      <c r="K292" s="108" t="s">
        <v>1145</v>
      </c>
    </row>
    <row r="293" spans="1:11" ht="15.75" x14ac:dyDescent="0.25">
      <c r="A293" s="87" t="s">
        <v>890</v>
      </c>
      <c r="B293" s="87" t="s">
        <v>1009</v>
      </c>
      <c r="C293" s="108" t="s">
        <v>570</v>
      </c>
      <c r="D293" s="107" t="s">
        <v>420</v>
      </c>
      <c r="E293" s="107" t="s">
        <v>421</v>
      </c>
      <c r="F293" s="107" t="s">
        <v>422</v>
      </c>
      <c r="G293" s="108" t="s">
        <v>321</v>
      </c>
      <c r="H293" s="108" t="s">
        <v>451</v>
      </c>
      <c r="I293" s="108" t="s">
        <v>516</v>
      </c>
      <c r="J293" s="108" t="s">
        <v>1029</v>
      </c>
      <c r="K293" s="108" t="s">
        <v>1146</v>
      </c>
    </row>
    <row r="294" spans="1:11" ht="15.75" x14ac:dyDescent="0.25">
      <c r="A294" s="87" t="s">
        <v>890</v>
      </c>
      <c r="B294" s="87" t="s">
        <v>1009</v>
      </c>
      <c r="C294" s="108" t="s">
        <v>573</v>
      </c>
      <c r="D294" s="107" t="s">
        <v>392</v>
      </c>
      <c r="E294" s="107" t="s">
        <v>393</v>
      </c>
      <c r="F294" s="107" t="s">
        <v>394</v>
      </c>
      <c r="G294" s="108" t="s">
        <v>321</v>
      </c>
      <c r="H294" s="108" t="s">
        <v>447</v>
      </c>
      <c r="I294" s="108" t="s">
        <v>498</v>
      </c>
      <c r="J294" s="108" t="s">
        <v>1026</v>
      </c>
      <c r="K294" s="108" t="s">
        <v>1147</v>
      </c>
    </row>
    <row r="295" spans="1:11" ht="15.75" x14ac:dyDescent="0.25">
      <c r="A295" s="87" t="s">
        <v>890</v>
      </c>
      <c r="B295" s="87" t="s">
        <v>1009</v>
      </c>
      <c r="C295" s="108" t="s">
        <v>580</v>
      </c>
      <c r="D295" s="107" t="s">
        <v>117</v>
      </c>
      <c r="E295" s="107" t="s">
        <v>118</v>
      </c>
      <c r="F295" s="107" t="s">
        <v>119</v>
      </c>
      <c r="G295" s="108" t="s">
        <v>321</v>
      </c>
      <c r="H295" s="108" t="s">
        <v>258</v>
      </c>
      <c r="I295" s="108" t="s">
        <v>454</v>
      </c>
      <c r="J295" s="108" t="s">
        <v>1020</v>
      </c>
      <c r="K295" s="108" t="s">
        <v>1148</v>
      </c>
    </row>
    <row r="296" spans="1:11" ht="15.75" x14ac:dyDescent="0.25">
      <c r="A296" s="87" t="s">
        <v>890</v>
      </c>
      <c r="B296" s="87" t="s">
        <v>1009</v>
      </c>
      <c r="C296" s="108" t="s">
        <v>581</v>
      </c>
      <c r="D296" s="107" t="s">
        <v>857</v>
      </c>
      <c r="E296" s="107" t="s">
        <v>168</v>
      </c>
      <c r="F296" s="107" t="s">
        <v>169</v>
      </c>
      <c r="G296" s="108" t="s">
        <v>321</v>
      </c>
      <c r="H296" s="108" t="s">
        <v>279</v>
      </c>
      <c r="I296" s="108" t="s">
        <v>482</v>
      </c>
      <c r="J296" s="108" t="s">
        <v>1023</v>
      </c>
      <c r="K296" s="108" t="s">
        <v>1149</v>
      </c>
    </row>
    <row r="297" spans="1:11" ht="15.75" x14ac:dyDescent="0.25">
      <c r="A297" s="87" t="s">
        <v>890</v>
      </c>
      <c r="B297" s="87" t="s">
        <v>1009</v>
      </c>
      <c r="C297" s="108" t="s">
        <v>594</v>
      </c>
      <c r="D297" s="107" t="s">
        <v>873</v>
      </c>
      <c r="E297" s="107" t="s">
        <v>194</v>
      </c>
      <c r="F297" s="107" t="s">
        <v>239</v>
      </c>
      <c r="G297" s="108" t="s">
        <v>321</v>
      </c>
      <c r="H297" s="108" t="s">
        <v>313</v>
      </c>
      <c r="I297" s="108" t="s">
        <v>521</v>
      </c>
      <c r="J297" s="108" t="s">
        <v>1030</v>
      </c>
      <c r="K297" s="108" t="s">
        <v>1150</v>
      </c>
    </row>
    <row r="298" spans="1:11" ht="15.75" x14ac:dyDescent="0.25">
      <c r="A298" s="87" t="s">
        <v>890</v>
      </c>
      <c r="B298" s="87" t="s">
        <v>1009</v>
      </c>
      <c r="C298" s="108" t="s">
        <v>79</v>
      </c>
      <c r="D298" s="107" t="s">
        <v>343</v>
      </c>
      <c r="E298" s="107" t="s">
        <v>194</v>
      </c>
      <c r="F298" s="107" t="s">
        <v>344</v>
      </c>
      <c r="G298" s="108" t="s">
        <v>321</v>
      </c>
      <c r="H298" s="108" t="s">
        <v>440</v>
      </c>
      <c r="I298" s="108" t="s">
        <v>466</v>
      </c>
      <c r="J298" s="108" t="s">
        <v>1022</v>
      </c>
      <c r="K298" s="108" t="s">
        <v>1151</v>
      </c>
    </row>
    <row r="299" spans="1:11" ht="15.75" x14ac:dyDescent="0.25">
      <c r="A299" s="87" t="s">
        <v>890</v>
      </c>
      <c r="B299" s="87" t="s">
        <v>1009</v>
      </c>
      <c r="C299" s="108" t="s">
        <v>607</v>
      </c>
      <c r="D299" s="107" t="s">
        <v>240</v>
      </c>
      <c r="E299" s="107" t="s">
        <v>161</v>
      </c>
      <c r="F299" s="107" t="s">
        <v>241</v>
      </c>
      <c r="G299" s="108" t="s">
        <v>321</v>
      </c>
      <c r="H299" s="108" t="s">
        <v>314</v>
      </c>
      <c r="I299" s="108" t="s">
        <v>522</v>
      </c>
      <c r="J299" s="108" t="s">
        <v>1031</v>
      </c>
      <c r="K299" s="108" t="s">
        <v>1152</v>
      </c>
    </row>
    <row r="300" spans="1:11" ht="15.75" x14ac:dyDescent="0.25">
      <c r="A300" s="87" t="s">
        <v>890</v>
      </c>
      <c r="B300" s="87" t="s">
        <v>1009</v>
      </c>
      <c r="C300" s="83" t="s">
        <v>967</v>
      </c>
      <c r="D300" s="81" t="s">
        <v>874</v>
      </c>
      <c r="E300" s="81" t="s">
        <v>141</v>
      </c>
      <c r="F300" s="81" t="s">
        <v>229</v>
      </c>
      <c r="G300" s="83" t="s">
        <v>253</v>
      </c>
      <c r="H300" s="83" t="s">
        <v>908</v>
      </c>
      <c r="I300" s="83" t="s">
        <v>909</v>
      </c>
      <c r="J300" s="83" t="s">
        <v>982</v>
      </c>
      <c r="K300" s="83" t="s">
        <v>1124</v>
      </c>
    </row>
    <row r="301" spans="1:11" ht="15.75" x14ac:dyDescent="0.25">
      <c r="A301" s="87" t="s">
        <v>890</v>
      </c>
      <c r="B301" s="87" t="s">
        <v>1009</v>
      </c>
      <c r="C301" s="83" t="s">
        <v>554</v>
      </c>
      <c r="D301" s="81" t="s">
        <v>210</v>
      </c>
      <c r="E301" s="81" t="s">
        <v>141</v>
      </c>
      <c r="F301" s="81" t="s">
        <v>211</v>
      </c>
      <c r="G301" s="83" t="s">
        <v>253</v>
      </c>
      <c r="H301" s="83" t="s">
        <v>299</v>
      </c>
      <c r="I301" s="83" t="s">
        <v>504</v>
      </c>
      <c r="J301" s="83" t="s">
        <v>977</v>
      </c>
      <c r="K301" s="83" t="s">
        <v>1125</v>
      </c>
    </row>
    <row r="302" spans="1:11" ht="15.75" x14ac:dyDescent="0.25">
      <c r="A302" s="87" t="s">
        <v>890</v>
      </c>
      <c r="B302" s="87" t="s">
        <v>1009</v>
      </c>
      <c r="C302" s="83" t="s">
        <v>562</v>
      </c>
      <c r="D302" s="81" t="s">
        <v>196</v>
      </c>
      <c r="E302" s="81" t="s">
        <v>141</v>
      </c>
      <c r="F302" s="81" t="s">
        <v>197</v>
      </c>
      <c r="G302" s="83" t="s">
        <v>253</v>
      </c>
      <c r="H302" s="83" t="s">
        <v>292</v>
      </c>
      <c r="I302" s="83" t="s">
        <v>495</v>
      </c>
      <c r="J302" s="83" t="s">
        <v>973</v>
      </c>
      <c r="K302" s="83" t="s">
        <v>1126</v>
      </c>
    </row>
    <row r="303" spans="1:11" ht="15.75" x14ac:dyDescent="0.25">
      <c r="A303" s="87" t="s">
        <v>890</v>
      </c>
      <c r="B303" s="87" t="s">
        <v>1009</v>
      </c>
      <c r="C303" s="83" t="s">
        <v>565</v>
      </c>
      <c r="D303" s="81" t="s">
        <v>350</v>
      </c>
      <c r="E303" s="81" t="s">
        <v>141</v>
      </c>
      <c r="F303" s="81" t="s">
        <v>351</v>
      </c>
      <c r="G303" s="83" t="s">
        <v>253</v>
      </c>
      <c r="H303" s="83" t="s">
        <v>441</v>
      </c>
      <c r="I303" s="83" t="s">
        <v>471</v>
      </c>
      <c r="J303" s="83" t="s">
        <v>970</v>
      </c>
      <c r="K303" s="83" t="s">
        <v>1127</v>
      </c>
    </row>
    <row r="304" spans="1:11" ht="15.75" x14ac:dyDescent="0.25">
      <c r="A304" s="87" t="s">
        <v>890</v>
      </c>
      <c r="B304" s="87" t="s">
        <v>1009</v>
      </c>
      <c r="C304" s="83" t="s">
        <v>83</v>
      </c>
      <c r="D304" s="81" t="s">
        <v>248</v>
      </c>
      <c r="E304" s="81" t="s">
        <v>141</v>
      </c>
      <c r="F304" s="81" t="s">
        <v>249</v>
      </c>
      <c r="G304" s="83" t="s">
        <v>253</v>
      </c>
      <c r="H304" s="83" t="s">
        <v>318</v>
      </c>
      <c r="I304" s="83" t="s">
        <v>527</v>
      </c>
      <c r="J304" s="83" t="s">
        <v>983</v>
      </c>
      <c r="K304" s="83" t="s">
        <v>1128</v>
      </c>
    </row>
    <row r="305" spans="1:11" ht="15.75" x14ac:dyDescent="0.25">
      <c r="A305" s="87" t="s">
        <v>890</v>
      </c>
      <c r="B305" s="87" t="s">
        <v>1009</v>
      </c>
      <c r="C305" s="83" t="s">
        <v>578</v>
      </c>
      <c r="D305" s="81" t="s">
        <v>236</v>
      </c>
      <c r="E305" s="81" t="s">
        <v>141</v>
      </c>
      <c r="F305" s="81" t="s">
        <v>237</v>
      </c>
      <c r="G305" s="83" t="s">
        <v>253</v>
      </c>
      <c r="H305" s="83" t="s">
        <v>312</v>
      </c>
      <c r="I305" s="83" t="s">
        <v>520</v>
      </c>
      <c r="J305" s="83" t="s">
        <v>981</v>
      </c>
      <c r="K305" s="83" t="s">
        <v>1129</v>
      </c>
    </row>
    <row r="306" spans="1:11" ht="15.75" x14ac:dyDescent="0.25">
      <c r="A306" s="87" t="s">
        <v>890</v>
      </c>
      <c r="B306" s="87" t="s">
        <v>1009</v>
      </c>
      <c r="C306" s="83" t="s">
        <v>963</v>
      </c>
      <c r="D306" s="81" t="s">
        <v>870</v>
      </c>
      <c r="E306" s="81" t="s">
        <v>141</v>
      </c>
      <c r="F306" s="81" t="s">
        <v>871</v>
      </c>
      <c r="G306" s="83" t="s">
        <v>253</v>
      </c>
      <c r="H306" s="83" t="s">
        <v>906</v>
      </c>
      <c r="I306" s="83" t="s">
        <v>907</v>
      </c>
      <c r="J306" s="83" t="s">
        <v>980</v>
      </c>
      <c r="K306" s="83" t="s">
        <v>1130</v>
      </c>
    </row>
    <row r="307" spans="1:11" ht="15.75" x14ac:dyDescent="0.25">
      <c r="A307" s="87" t="s">
        <v>890</v>
      </c>
      <c r="B307" s="87" t="s">
        <v>1009</v>
      </c>
      <c r="C307" s="83" t="s">
        <v>77</v>
      </c>
      <c r="D307" s="81" t="s">
        <v>204</v>
      </c>
      <c r="E307" s="81" t="s">
        <v>141</v>
      </c>
      <c r="F307" s="81" t="s">
        <v>205</v>
      </c>
      <c r="G307" s="83" t="s">
        <v>253</v>
      </c>
      <c r="H307" s="83" t="s">
        <v>296</v>
      </c>
      <c r="I307" s="83" t="s">
        <v>501</v>
      </c>
      <c r="J307" s="83" t="s">
        <v>976</v>
      </c>
      <c r="K307" s="83" t="s">
        <v>1131</v>
      </c>
    </row>
    <row r="308" spans="1:11" ht="15.75" x14ac:dyDescent="0.25">
      <c r="A308" s="87" t="s">
        <v>890</v>
      </c>
      <c r="B308" s="87" t="s">
        <v>1009</v>
      </c>
      <c r="C308" s="83" t="s">
        <v>92</v>
      </c>
      <c r="D308" s="81" t="s">
        <v>200</v>
      </c>
      <c r="E308" s="81" t="s">
        <v>141</v>
      </c>
      <c r="F308" s="81" t="s">
        <v>201</v>
      </c>
      <c r="G308" s="83" t="s">
        <v>253</v>
      </c>
      <c r="H308" s="83" t="s">
        <v>294</v>
      </c>
      <c r="I308" s="83" t="s">
        <v>497</v>
      </c>
      <c r="J308" s="83" t="s">
        <v>975</v>
      </c>
      <c r="K308" s="83" t="s">
        <v>1132</v>
      </c>
    </row>
    <row r="309" spans="1:11" ht="15.75" x14ac:dyDescent="0.25">
      <c r="A309" s="87" t="s">
        <v>890</v>
      </c>
      <c r="B309" s="87" t="s">
        <v>1009</v>
      </c>
      <c r="C309" s="83" t="s">
        <v>591</v>
      </c>
      <c r="D309" s="81" t="s">
        <v>140</v>
      </c>
      <c r="E309" s="81" t="s">
        <v>141</v>
      </c>
      <c r="F309" s="81" t="s">
        <v>142</v>
      </c>
      <c r="G309" s="83" t="s">
        <v>253</v>
      </c>
      <c r="H309" s="83" t="s">
        <v>268</v>
      </c>
      <c r="I309" s="83" t="s">
        <v>465</v>
      </c>
      <c r="J309" s="83" t="s">
        <v>969</v>
      </c>
      <c r="K309" s="83" t="s">
        <v>1133</v>
      </c>
    </row>
    <row r="310" spans="1:11" ht="15.75" x14ac:dyDescent="0.25">
      <c r="A310" s="87" t="s">
        <v>890</v>
      </c>
      <c r="B310" s="87" t="s">
        <v>1009</v>
      </c>
      <c r="C310" s="83" t="s">
        <v>599</v>
      </c>
      <c r="D310" s="81" t="s">
        <v>218</v>
      </c>
      <c r="E310" s="81" t="s">
        <v>141</v>
      </c>
      <c r="F310" s="81" t="s">
        <v>219</v>
      </c>
      <c r="G310" s="83" t="s">
        <v>253</v>
      </c>
      <c r="H310" s="83" t="s">
        <v>303</v>
      </c>
      <c r="I310" s="83" t="s">
        <v>509</v>
      </c>
      <c r="J310" s="83" t="s">
        <v>978</v>
      </c>
      <c r="K310" s="83" t="s">
        <v>1134</v>
      </c>
    </row>
    <row r="311" spans="1:11" ht="15.75" x14ac:dyDescent="0.25">
      <c r="A311" s="87" t="s">
        <v>890</v>
      </c>
      <c r="B311" s="87" t="s">
        <v>1009</v>
      </c>
      <c r="C311" s="83" t="s">
        <v>603</v>
      </c>
      <c r="D311" s="81" t="s">
        <v>386</v>
      </c>
      <c r="E311" s="81" t="s">
        <v>141</v>
      </c>
      <c r="F311" s="81" t="s">
        <v>388</v>
      </c>
      <c r="G311" s="83" t="s">
        <v>253</v>
      </c>
      <c r="H311" s="83" t="s">
        <v>446</v>
      </c>
      <c r="I311" s="83" t="s">
        <v>453</v>
      </c>
      <c r="J311" s="83" t="s">
        <v>974</v>
      </c>
      <c r="K311" s="83" t="s">
        <v>1135</v>
      </c>
    </row>
    <row r="312" spans="1:11" ht="15.75" x14ac:dyDescent="0.25">
      <c r="A312" s="87" t="s">
        <v>890</v>
      </c>
      <c r="B312" s="87" t="s">
        <v>1009</v>
      </c>
      <c r="C312" s="83" t="s">
        <v>606</v>
      </c>
      <c r="D312" s="81" t="s">
        <v>414</v>
      </c>
      <c r="E312" s="81" t="s">
        <v>141</v>
      </c>
      <c r="F312" s="81" t="s">
        <v>415</v>
      </c>
      <c r="G312" s="83" t="s">
        <v>253</v>
      </c>
      <c r="H312" s="83" t="s">
        <v>450</v>
      </c>
      <c r="I312" s="83" t="s">
        <v>512</v>
      </c>
      <c r="J312" s="83" t="s">
        <v>979</v>
      </c>
      <c r="K312" s="83" t="s">
        <v>1136</v>
      </c>
    </row>
    <row r="313" spans="1:11" ht="15.75" x14ac:dyDescent="0.25">
      <c r="A313" s="87" t="s">
        <v>890</v>
      </c>
      <c r="B313" s="87" t="s">
        <v>1009</v>
      </c>
      <c r="C313" s="83" t="s">
        <v>934</v>
      </c>
      <c r="D313" s="81" t="s">
        <v>854</v>
      </c>
      <c r="E313" s="81" t="s">
        <v>141</v>
      </c>
      <c r="F313" s="81" t="s">
        <v>855</v>
      </c>
      <c r="G313" s="83" t="s">
        <v>253</v>
      </c>
      <c r="H313" s="83" t="s">
        <v>897</v>
      </c>
      <c r="I313" s="83" t="s">
        <v>898</v>
      </c>
      <c r="J313" s="83" t="s">
        <v>971</v>
      </c>
      <c r="K313" s="83" t="s">
        <v>1137</v>
      </c>
    </row>
    <row r="314" spans="1:11" ht="15.75" x14ac:dyDescent="0.25">
      <c r="A314" s="87" t="s">
        <v>890</v>
      </c>
      <c r="B314" s="87" t="s">
        <v>1009</v>
      </c>
      <c r="C314" s="83" t="s">
        <v>968</v>
      </c>
      <c r="D314" s="81" t="s">
        <v>875</v>
      </c>
      <c r="E314" s="81" t="s">
        <v>141</v>
      </c>
      <c r="F314" s="81" t="s">
        <v>876</v>
      </c>
      <c r="G314" s="83" t="s">
        <v>253</v>
      </c>
      <c r="H314" s="83" t="s">
        <v>910</v>
      </c>
      <c r="I314" s="83" t="s">
        <v>911</v>
      </c>
      <c r="J314" s="83" t="s">
        <v>984</v>
      </c>
      <c r="K314" s="83" t="s">
        <v>1138</v>
      </c>
    </row>
    <row r="315" spans="1:11" ht="15.75" x14ac:dyDescent="0.25">
      <c r="A315" s="87" t="s">
        <v>890</v>
      </c>
      <c r="B315" s="87" t="s">
        <v>1009</v>
      </c>
      <c r="C315" s="83" t="s">
        <v>44</v>
      </c>
      <c r="D315" s="81" t="s">
        <v>859</v>
      </c>
      <c r="E315" s="81" t="s">
        <v>141</v>
      </c>
      <c r="F315" s="81" t="s">
        <v>188</v>
      </c>
      <c r="G315" s="83" t="s">
        <v>253</v>
      </c>
      <c r="H315" s="83" t="s">
        <v>288</v>
      </c>
      <c r="I315" s="83" t="s">
        <v>491</v>
      </c>
      <c r="J315" s="83" t="s">
        <v>972</v>
      </c>
      <c r="K315" s="83" t="s">
        <v>1139</v>
      </c>
    </row>
  </sheetData>
  <mergeCells count="1">
    <mergeCell ref="D1:K1"/>
  </mergeCells>
  <conditionalFormatting sqref="B33:B80">
    <cfRule type="expression" dxfId="39" priority="37">
      <formula>$B33="Position Filled"</formula>
    </cfRule>
    <cfRule type="expression" dxfId="38" priority="38">
      <formula>$B33="On Committee"</formula>
    </cfRule>
    <cfRule type="expression" dxfId="37" priority="39">
      <formula>$B33="Qualified"</formula>
    </cfRule>
    <cfRule type="expression" dxfId="36" priority="40">
      <formula>$B33="Exclude"</formula>
    </cfRule>
  </conditionalFormatting>
  <conditionalFormatting sqref="A33:A80">
    <cfRule type="expression" dxfId="35" priority="33">
      <formula>$B33="Position Filled"</formula>
    </cfRule>
    <cfRule type="expression" dxfId="34" priority="34">
      <formula>$B33="On Committee"</formula>
    </cfRule>
    <cfRule type="expression" dxfId="33" priority="35">
      <formula>$B33="Qualified"</formula>
    </cfRule>
    <cfRule type="expression" dxfId="32" priority="36">
      <formula>$B33="Exclude"</formula>
    </cfRule>
  </conditionalFormatting>
  <conditionalFormatting sqref="B95:B110">
    <cfRule type="expression" dxfId="31" priority="29">
      <formula>$B95="Position Filled"</formula>
    </cfRule>
    <cfRule type="expression" dxfId="30" priority="30">
      <formula>$B95="On Committee"</formula>
    </cfRule>
    <cfRule type="expression" dxfId="29" priority="31">
      <formula>$B95="Qualified"</formula>
    </cfRule>
    <cfRule type="expression" dxfId="28" priority="32">
      <formula>$B95="Exclude"</formula>
    </cfRule>
  </conditionalFormatting>
  <conditionalFormatting sqref="A95:A110">
    <cfRule type="expression" dxfId="27" priority="25">
      <formula>$B95="Position Filled"</formula>
    </cfRule>
    <cfRule type="expression" dxfId="26" priority="26">
      <formula>$B95="On Committee"</formula>
    </cfRule>
    <cfRule type="expression" dxfId="25" priority="27">
      <formula>$B95="Qualified"</formula>
    </cfRule>
    <cfRule type="expression" dxfId="24" priority="28">
      <formula>$B95="Exclude"</formula>
    </cfRule>
  </conditionalFormatting>
  <conditionalFormatting sqref="B125:B137">
    <cfRule type="expression" dxfId="23" priority="21">
      <formula>$B125="Position Filled"</formula>
    </cfRule>
    <cfRule type="expression" dxfId="22" priority="22">
      <formula>$B125="On Committee"</formula>
    </cfRule>
    <cfRule type="expression" dxfId="21" priority="23">
      <formula>$B125="Qualified"</formula>
    </cfRule>
    <cfRule type="expression" dxfId="20" priority="24">
      <formula>$B125="Exclude"</formula>
    </cfRule>
  </conditionalFormatting>
  <conditionalFormatting sqref="A125:A137">
    <cfRule type="expression" dxfId="19" priority="17">
      <formula>$B125="Position Filled"</formula>
    </cfRule>
    <cfRule type="expression" dxfId="18" priority="18">
      <formula>$B125="On Committee"</formula>
    </cfRule>
    <cfRule type="expression" dxfId="17" priority="19">
      <formula>$B125="Qualified"</formula>
    </cfRule>
    <cfRule type="expression" dxfId="16" priority="20">
      <formula>$B125="Exclude"</formula>
    </cfRule>
  </conditionalFormatting>
  <conditionalFormatting sqref="B153:B229">
    <cfRule type="expression" dxfId="15" priority="13">
      <formula>$B153="Position Filled"</formula>
    </cfRule>
    <cfRule type="expression" dxfId="14" priority="14">
      <formula>$B153="On Committee"</formula>
    </cfRule>
    <cfRule type="expression" dxfId="13" priority="15">
      <formula>$B153="Qualified"</formula>
    </cfRule>
    <cfRule type="expression" dxfId="12" priority="16">
      <formula>$B153="Exclude"</formula>
    </cfRule>
  </conditionalFormatting>
  <conditionalFormatting sqref="A153:A229">
    <cfRule type="expression" dxfId="11" priority="9">
      <formula>$B153="Position Filled"</formula>
    </cfRule>
    <cfRule type="expression" dxfId="10" priority="10">
      <formula>$B153="On Committee"</formula>
    </cfRule>
    <cfRule type="expression" dxfId="9" priority="11">
      <formula>$B153="Qualified"</formula>
    </cfRule>
    <cfRule type="expression" dxfId="8" priority="12">
      <formula>$B153="Exclude"</formula>
    </cfRule>
  </conditionalFormatting>
  <conditionalFormatting sqref="B239:B315">
    <cfRule type="expression" dxfId="7" priority="5">
      <formula>$B239="Position Filled"</formula>
    </cfRule>
    <cfRule type="expression" dxfId="6" priority="6">
      <formula>$B239="On Committee"</formula>
    </cfRule>
    <cfRule type="expression" dxfId="5" priority="7">
      <formula>$B239="Qualified"</formula>
    </cfRule>
    <cfRule type="expression" dxfId="4" priority="8">
      <formula>$B239="Exclude"</formula>
    </cfRule>
  </conditionalFormatting>
  <conditionalFormatting sqref="A239:A315">
    <cfRule type="expression" dxfId="3" priority="1">
      <formula>$B239="Position Filled"</formula>
    </cfRule>
    <cfRule type="expression" dxfId="2" priority="2">
      <formula>$B239="On Committee"</formula>
    </cfRule>
    <cfRule type="expression" dxfId="1" priority="3">
      <formula>$B239="Qualified"</formula>
    </cfRule>
    <cfRule type="expression" dxfId="0" priority="4">
      <formula>$B239="Exclude"</formula>
    </cfRule>
  </conditionalFormatting>
  <dataValidations count="2">
    <dataValidation type="list" allowBlank="1" showInputMessage="1" showErrorMessage="1" sqref="A33:A80 A95:A110 A125:A137 A153:A229 A239:A315">
      <formula1>"No Votes,Accept,Deny"</formula1>
    </dataValidation>
    <dataValidation type="list" allowBlank="1" showInputMessage="1" showErrorMessage="1" sqref="B33:B80 B95:B110 B125:B137 B153:B229 B239:B315">
      <formula1>"Qualified,Exclude,On Committee,Position Filled"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IdeaForMapping2Year</vt:lpstr>
      <vt:lpstr>HR-Data(OLD)</vt:lpstr>
      <vt:lpstr>Data-Templates</vt:lpstr>
      <vt:lpstr>Committee's</vt:lpstr>
      <vt:lpstr>Sheet1</vt:lpstr>
      <vt:lpstr>HR Data</vt:lpstr>
      <vt:lpstr>Committee-Template</vt:lpstr>
      <vt:lpstr>FCS-Test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Michele Crespo-Fierro</dc:creator>
  <cp:lastModifiedBy>Kevin McClean</cp:lastModifiedBy>
  <cp:lastPrinted>2020-02-04T22:45:27Z</cp:lastPrinted>
  <dcterms:created xsi:type="dcterms:W3CDTF">2019-08-23T16:26:46Z</dcterms:created>
  <dcterms:modified xsi:type="dcterms:W3CDTF">2021-02-10T15:17:26Z</dcterms:modified>
</cp:coreProperties>
</file>